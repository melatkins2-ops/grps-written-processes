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69d0e5021649b4" /></Relationships>
</file>

<file path=xl/workbook.xml><?xml version="1.0" encoding="utf-8"?>
<x:workbook xmlns:x="http://schemas.openxmlformats.org/spreadsheetml/2006/main">
  <x:sheets>
    <x:sheet xmlns:r="http://schemas.openxmlformats.org/officeDocument/2006/relationships" name="Master Process Index" sheetId="1" r:id="Rf363cbc4ec3a4ce8"/>
    <x:sheet xmlns:r="http://schemas.openxmlformats.org/officeDocument/2006/relationships" name="MDE Indicator Matrix" sheetId="2" r:id="Rc9d539b4f0f04bc2"/>
    <x:sheet xmlns:r="http://schemas.openxmlformats.org/officeDocument/2006/relationships" name="Process Page Builder" sheetId="3" r:id="Rd558a2c5d1474af7"/>
    <x:sheet xmlns:r="http://schemas.openxmlformats.org/officeDocument/2006/relationships" name="Dashboard" sheetId="4" r:id="R8d8097b14db74e82"/>
    <x:sheet xmlns:r="http://schemas.openxmlformats.org/officeDocument/2006/relationships" name="Lists" sheetId="5" r:id="Rba9bbcbab16f456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m/dd/yyyy"/>
  </x:numFmts>
  <x:fonts count="4">
    <x:font>
      <x:sz val="11"/>
      <x:name val="Carlito"/>
    </x:font>
    <x:font>
      <x:b/>
      <x:sz val="11"/>
      <x:color rgb="FFFFFFFF"/>
      <x:name val="Carlito"/>
    </x:font>
    <x:font>
      <x:b/>
      <x:sz val="16"/>
      <x:color rgb="FFFFFFFF"/>
      <x:name val="Carlito"/>
    </x:font>
    <x:font>
      <x:b/>
      <x:sz val="14"/>
      <x:color rgb="FF0A4D8C"/>
      <x:name val="Carlito"/>
    </x:font>
  </x:fonts>
  <x:fills count="3">
    <x:fill>
      <x:patternFill patternType="none"/>
    </x:fill>
    <x:fill>
      <x:patternFill patternType="gray125"/>
    </x:fill>
    <x:fill>
      <x:patternFill patternType="solid">
        <x:fgColor rgb="FF0A4D8C"/>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2"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3" fillId="0" borderId="0" xfId="0" applyNumberFormat="1" applyFont="1" applyFill="1" applyBorder="1" applyAlignment="1">
      <x:alignment horizontal="center" wrapText="1"/>
    </x:xf>
    <x:xf numFmtId="0" fontId="3" fillId="0" borderId="1" xfId="0" applyNumberFormat="1" applyFont="1" applyFill="1" applyBorder="1" applyAlignment="1">
      <x:alignment horizontal="center" wrapText="1"/>
    </x:xf>
  </x:cellXfs>
  <x:cellStyles count="1">
    <x:cellStyle name="Normal" xfId="0"/>
  </x:cellStyles>
  <x:dxfs count="8">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E40AF"/>
      </x:font>
      <x:fill>
        <x:patternFill patternType="solid">
          <x:bgColor rgb="FFDBEAFE"/>
        </x:patternFill>
      </x:fill>
    </x:dxf>
    <x:dxf>
      <x:font>
        <x:color rgb="FF991B1B"/>
      </x:font>
      <x:fill>
        <x:patternFill patternType="solid">
          <x:bgColor rgb="FFFEE2E2"/>
        </x:patternFill>
      </x:fill>
    </x:dxf>
    <x:dxf>
      <x:font>
        <x:b/>
      </x:font>
      <x:fill>
        <x:patternFill patternType="solid">
          <x:bgColor rgb="FFFDE68A"/>
        </x:patternFill>
      </x:fill>
    </x:dxf>
    <x:dxf>
      <x:font>
        <x:b/>
        <x:color rgb="FF991B1B"/>
      </x:font>
      <x:fill>
        <x:patternFill patternType="solid">
          <x:bgColor rgb="FFFEE2E2"/>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9df8a8b6c546f7" /><Relationship Type="http://schemas.openxmlformats.org/officeDocument/2006/relationships/theme" Target="/xl/theme/theme1.xml" Id="R7d8aa6b642064947" /><Relationship Type="http://schemas.openxmlformats.org/officeDocument/2006/relationships/sharedStrings" Target="/xl/sharedStrings.xml" Id="Rffd391ebd03b40bd" /><Relationship Type="http://schemas.openxmlformats.org/officeDocument/2006/relationships/worksheet" Target="/xl/worksheets/sheet1.xml" Id="Rf363cbc4ec3a4ce8" /><Relationship Type="http://schemas.openxmlformats.org/officeDocument/2006/relationships/worksheet" Target="/xl/worksheets/sheet2.xml" Id="Rc9d539b4f0f04bc2" /><Relationship Type="http://schemas.openxmlformats.org/officeDocument/2006/relationships/worksheet" Target="/xl/worksheets/sheet3.xml" Id="Rd558a2c5d1474af7" /><Relationship Type="http://schemas.openxmlformats.org/officeDocument/2006/relationships/worksheet" Target="/xl/worksheets/sheet4.xml" Id="R8d8097b14db74e82" /><Relationship Type="http://schemas.openxmlformats.org/officeDocument/2006/relationships/worksheet" Target="/xl/worksheets/sheet5.xml" Id="Rba9bbcbab16f4563"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1bfa1c17694042" /><Relationship Type="http://schemas.openxmlformats.org/officeDocument/2006/relationships/chart" Target="/xl/drawings/charts/chart2.xml" Id="R4fb7cae7cf134f1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Process Status</a:t>
            </a:r>
          </a:p>
        </c:rich>
      </c:tx>
    </c:title>
    <c:plotArea>
      <c:barChart>
        <c:barDir val="col"/>
        <c:varyColors val="0"/>
        <c:ser>
          <c:idx val="0"/>
          <c:order val="0"/>
          <c:tx>
            <c:v>Series 1</c:v>
          </c:tx>
          <c:cat>
            <c:strRef>
              <c:f>'Dashboard'!$A$5:$A$9</c:f>
              <c:strCache>
                <c:ptCount val="0"/>
              </c:strCache>
            </c:strRef>
          </c:cat>
          <c:val>
            <c:numRef>
              <c:f>'Dashboard'!$B$5:$B$9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Evidence Status</a:t>
            </a:r>
          </a:p>
        </c:rich>
      </c:tx>
    </c:title>
    <c:plotArea>
      <c:barChart>
        <c:barDir val="col"/>
        <c:varyColors val="0"/>
        <c:ser>
          <c:idx val="0"/>
          <c:order val="0"/>
          <c:tx>
            <c:v>Series 1</c:v>
          </c:tx>
          <c:cat>
            <c:strRef>
              <c:f>'Dashboard'!$D$4:$D$7</c:f>
              <c:strCache>
                <c:ptCount val="0"/>
              </c:strCache>
            </c:strRef>
          </c:cat>
          <c:val>
            <c:numRef>
              <c:f>'Dashboard'!$E$4:$E$7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1bfa1c17694042"/>
        </a:graphicData>
      </a:graphic>
    </xdr:graphicFrame>
    <xdr:clientData/>
  </xdr:twoCellAnchor>
  <xdr:twoCellAnchor>
    <xdr:from>
      <xdr:col>7</xdr:col>
      <xdr:colOff>0</xdr:colOff>
      <xdr:row>17</xdr:row>
      <xdr:rowOff>0</xdr:rowOff>
    </xdr:from>
    <xdr:to>
      <xdr:col>14</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b7cae7cf134f1b"/>
        </a:graphicData>
      </a:graphic>
    </xdr:graphicFrame>
    <xdr:clientData/>
  </xdr:twoCellAnchor>
</xdr:wsDr>
</file>

<file path=xl/tables/table1.xml><?xml version="1.0" encoding="utf-8"?>
<x:table xmlns:x="http://schemas.openxmlformats.org/spreadsheetml/2006/main" id="1" name="MasterProcessIndex" displayName="MasterProcessIndex" ref="A1:S48" headerRowCount="1" totalsRowCount="0" totalsRowShown="0">
  <x:tableColumns count="19">
    <x:tableColumn id="1" name="Process ID"/>
    <x:tableColumn id="2" name="Working Process Title"/>
    <x:tableColumn id="3" name="Program / Collection"/>
    <x:tableColumn id="4" name="MDE Section"/>
    <x:tableColumn id="5" name="MDE Indicator"/>
    <x:tableColumn id="6" name="Indicator Description"/>
    <x:tableColumn id="7" name="Existing Evidence / Reference"/>
    <x:tableColumn id="8" name="Team Involvement (Outline)"/>
    <x:tableColumn id="9" name="Process Owner (Validate)"/>
    <x:tableColumn id="10" name="Process Status"/>
    <x:tableColumn id="11" name="Evidence Status"/>
    <x:tableColumn id="12" name="Priority"/>
    <x:tableColumn id="13" name="Effective Date"/>
    <x:tableColumn id="14" name="Last Reviewed"/>
    <x:tableColumn id="15" name="Next Review"/>
    <x:tableColumn id="16" name="Google Sites Page URL"/>
    <x:tableColumn id="17" name="Drive Evidence Location"/>
    <x:tableColumn id="18" name="Corrective Action / Next Step"/>
    <x:tableColumn id="19" name="Source Notes"/>
  </x:tableColumns>
  <x:tableStyleInfo name="TableStyleMedium2" showFirstColumn="0" showLastColumn="0" showRowStripes="1" showColumnStripes="0"/>
</x:table>
</file>

<file path=xl/tables/table2.xml><?xml version="1.0" encoding="utf-8"?>
<x:table xmlns:x="http://schemas.openxmlformats.org/spreadsheetml/2006/main" id="2" name="MDEIndicatorMatrix" displayName="MDEIndicatorMatrix" ref="A1:M48" headerRowCount="1" totalsRowCount="0" totalsRowShown="0">
  <x:tableColumns count="13">
    <x:tableColumn id="1" name="Process ID"/>
    <x:tableColumn id="2" name="MDE Section"/>
    <x:tableColumn id="3" name="MDE Indicator"/>
    <x:tableColumn id="4" name="Program / Collection"/>
    <x:tableColumn id="5" name="Indicator Description"/>
    <x:tableColumn id="6" name="GRPS Working Process Title"/>
    <x:tableColumn id="7" name="Existing Evidence / Reference"/>
    <x:tableColumn id="8" name="Team Involvement"/>
    <x:tableColumn id="9" name="Process Status"/>
    <x:tableColumn id="10" name="Evidence Status"/>
    <x:tableColumn id="11" name="Owner"/>
    <x:tableColumn id="12" name="Corrective Action / Next Step"/>
    <x:tableColumn id="13" name="Google Sites Pag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d69f80863f04b89" /></Relationships>
</file>

<file path=xl/worksheets/_rels/sheet2.xml.rels>&#65279;<?xml version="1.0" encoding="utf-8"?><Relationships xmlns="http://schemas.openxmlformats.org/package/2006/relationships"><Relationship Type="http://schemas.openxmlformats.org/officeDocument/2006/relationships/table" Target="/xl/tables/table2.xml" Id="Rd33ddad5bbae4edb" /></Relationships>
</file>

<file path=xl/worksheets/_rels/sheet4.xml.rels>&#65279;<?xml version="1.0" encoding="utf-8"?><Relationships xmlns="http://schemas.openxmlformats.org/package/2006/relationships"><Relationship Type="http://schemas.openxmlformats.org/officeDocument/2006/relationships/drawing" Target="/xl/drawings/drawing1.xml" Id="Ra7392301b3b14712" /></Relationships>
</file>

<file path=xl/worksheets/sheet1.xml><?xml version="1.0" encoding="utf-8"?>
<x:worksheet xmlns:x="http://schemas.openxmlformats.org/spreadsheetml/2006/main">
  <x:sheetFormatPr defaultRowHeight="15"/>
  <x:cols>
    <x:col min="1" max="1" width="12" hidden="0" customWidth="1"/>
    <x:col min="2" max="2" width="34" hidden="0" customWidth="1"/>
    <x:col min="3" max="3" width="27" hidden="0" customWidth="1"/>
    <x:col min="4" max="4" width="25" hidden="0" customWidth="1"/>
    <x:col min="5" max="5" width="12" hidden="0" customWidth="1"/>
    <x:col min="6" max="6" width="48" hidden="0" customWidth="1"/>
    <x:col min="7" max="7" width="45" hidden="0" customWidth="1"/>
    <x:col min="8" max="8" width="24" hidden="0" customWidth="1"/>
    <x:col min="9" max="9" width="24" hidden="0" customWidth="1"/>
    <x:col min="10" max="10" width="16" hidden="0" customWidth="1"/>
    <x:col min="11" max="11" width="24" hidden="0" customWidth="1"/>
    <x:col min="12" max="12" width="10" hidden="0" customWidth="1"/>
    <x:col min="13" max="13" width="13" hidden="0" customWidth="1"/>
    <x:col min="14" max="14" width="13" hidden="0" customWidth="1"/>
    <x:col min="15" max="15" width="13" hidden="0" customWidth="1"/>
    <x:col min="16" max="16" width="28" hidden="0" customWidth="1"/>
    <x:col min="17" max="17" width="28" hidden="0" customWidth="1"/>
    <x:col min="18" max="18" width="42" hidden="0" customWidth="1"/>
    <x:col min="19" max="19" width="42" hidden="0" customWidth="1"/>
  </x:cols>
  <x:sheetData>
    <x:row r="1" ht="40" customHeight="1">
      <x:c r="A1" s="14" t="str">
        <x:v>Process ID</x:v>
      </x:c>
      <x:c r="B1" s="14" t="str">
        <x:v>Working Process Title</x:v>
      </x:c>
      <x:c r="C1" s="14" t="str">
        <x:v>Program / Collection</x:v>
      </x:c>
      <x:c r="D1" s="14" t="str">
        <x:v>MDE Section</x:v>
      </x:c>
      <x:c r="E1" s="14" t="str">
        <x:v>MDE Indicator</x:v>
      </x:c>
      <x:c r="F1" s="14" t="str">
        <x:v>Indicator Description</x:v>
      </x:c>
      <x:c r="G1" s="14" t="str">
        <x:v>Existing Evidence / Reference</x:v>
      </x:c>
      <x:c r="H1" s="14" t="str">
        <x:v>Team Involvement (Outline)</x:v>
      </x:c>
      <x:c r="I1" s="14" t="str">
        <x:v>Process Owner (Validate)</x:v>
      </x:c>
      <x:c r="J1" s="14" t="str">
        <x:v>Process Status</x:v>
      </x:c>
      <x:c r="K1" s="14" t="str">
        <x:v>Evidence Status</x:v>
      </x:c>
      <x:c r="L1" s="14" t="str">
        <x:v>Priority</x:v>
      </x:c>
      <x:c r="M1" s="14" t="str">
        <x:v>Effective Date</x:v>
      </x:c>
      <x:c r="N1" s="14" t="str">
        <x:v>Last Reviewed</x:v>
      </x:c>
      <x:c r="O1" s="14" t="str">
        <x:v>Next Review</x:v>
      </x:c>
      <x:c r="P1" s="14" t="str">
        <x:v>Google Sites Page URL</x:v>
      </x:c>
      <x:c r="Q1" s="14" t="str">
        <x:v>Drive Evidence Location</x:v>
      </x:c>
      <x:c r="R1" s="14" t="str">
        <x:v>Corrective Action / Next Step</x:v>
      </x:c>
      <x:c r="S1" s="14" t="str">
        <x:v>Source Notes</x:v>
      </x:c>
    </x:row>
    <x:row r="2" ht="32" customHeight="1">
      <x:c r="A2" s="15" t="str">
        <x:v>GRPS-P001</x:v>
      </x:c>
      <x:c r="B2" s="15" t="str">
        <x:v>Curriculum Communication to Instructional Staff</x:v>
      </x:c>
      <x:c r="C2" s="15" t="str">
        <x:v>Curriculum</x:v>
      </x:c>
      <x:c r="D2" s="15" t="str">
        <x:v>Section 1</x:v>
      </x:c>
      <x:c r="E2" s="15" t="str">
        <x:v>Indicator 1</x:v>
      </x:c>
      <x:c r="F2" s="15" t="str">
        <x:v>The LEA ensures each school effectively communicates the curriculum to all instructional staff.</x:v>
      </x:c>
      <x:c r="G2" s="15" t="str"/>
      <x:c r="H2" s="15" t="str">
        <x:v>Curriculum</x:v>
      </x:c>
      <x:c r="I2" s="15" t="str"/>
      <x:c r="J2" s="15" t="str">
        <x:v>Evidence Gap</x:v>
      </x:c>
      <x:c r="K2" s="15" t="str">
        <x:v>Missing</x:v>
      </x:c>
      <x:c r="L2" s="15" t="str">
        <x:v>High</x:v>
      </x:c>
      <x:c r="M2" s="18" t="str"/>
      <x:c r="N2" s="18" t="str"/>
      <x:c r="O2" s="18" t="str"/>
      <x:c r="P2" s="15" t="str"/>
      <x:c r="Q2" s="15" t="str"/>
      <x:c r="R2" s="15" t="str">
        <x:v>Identify or develop the written process and supporting evidence; assign owner.</x:v>
      </x:c>
      <x:c r="S2" s="15" t="str">
        <x:v>No evidence filename was listed in the outline.</x:v>
      </x:c>
    </x:row>
    <x:row r="3" ht="32" customHeight="1">
      <x:c r="A3" s="15" t="str">
        <x:v>GRPS-P002</x:v>
      </x:c>
      <x:c r="B3" s="15" t="str">
        <x:v>Core Curriculum Instructional Alignment</x:v>
      </x:c>
      <x:c r="C3" s="15" t="str">
        <x:v>Curriculum</x:v>
      </x:c>
      <x:c r="D3" s="15" t="str">
        <x:v>Section 1</x:v>
      </x:c>
      <x:c r="E3" s="15" t="str">
        <x:v>Indicator 2</x:v>
      </x:c>
      <x:c r="F3" s="15" t="str">
        <x:v>The LEA has procedures in place to ensure that instruction is aligned with the core academic curriculum.</x:v>
      </x:c>
      <x:c r="G3" s="15" t="str"/>
      <x:c r="H3" s="15" t="str">
        <x:v>Curriculum</x:v>
      </x:c>
      <x:c r="I3" s="15" t="str"/>
      <x:c r="J3" s="15" t="str">
        <x:v>Evidence Gap</x:v>
      </x:c>
      <x:c r="K3" s="15" t="str">
        <x:v>Missing</x:v>
      </x:c>
      <x:c r="L3" s="15" t="str">
        <x:v>High</x:v>
      </x:c>
      <x:c r="M3" s="18" t="str"/>
      <x:c r="N3" s="18" t="str"/>
      <x:c r="O3" s="18" t="str"/>
      <x:c r="P3" s="15" t="str"/>
      <x:c r="Q3" s="15" t="str"/>
      <x:c r="R3" s="15" t="str">
        <x:v>Identify or develop the written process and supporting evidence; assign owner.</x:v>
      </x:c>
      <x:c r="S3" s="15" t="str">
        <x:v>No evidence filename was listed in the outline.</x:v>
      </x:c>
    </x:row>
    <x:row r="4" ht="32" customHeight="1">
      <x:c r="A4" s="15" t="str">
        <x:v>GRPS-P003</x:v>
      </x:c>
      <x:c r="B4" s="15" t="str">
        <x:v>Title I School-Level Implementation Monitoring</x:v>
      </x:c>
      <x:c r="C4" s="15" t="str">
        <x:v>Title I, Part A</x:v>
      </x:c>
      <x:c r="D4" s="15" t="str">
        <x:v>Section 2</x:v>
      </x:c>
      <x:c r="E4" s="15" t="str">
        <x:v>Indicator 1</x:v>
      </x:c>
      <x:c r="F4" s="15" t="str">
        <x:v>A written process is implemented to monitor implementation of the Title I, Part A program at the school-level.</x:v>
      </x:c>
      <x:c r="G4" s="15" t="str">
        <x:v>Section 2, Indicator 1 - Monitor Implementation of Title I A Program_Updated.docx; David's Sample</x:v>
      </x:c>
      <x:c r="H4" s="15" t="str">
        <x:v>Title I</x:v>
      </x:c>
      <x:c r="I4" s="15" t="str"/>
      <x:c r="J4" s="15" t="str">
        <x:v>Needs Review</x:v>
      </x:c>
      <x:c r="K4" s="15" t="str">
        <x:v>Partial / Needs Verification</x:v>
      </x:c>
      <x:c r="L4" s="15" t="str">
        <x:v>High</x:v>
      </x:c>
      <x:c r="M4" s="18" t="str"/>
      <x:c r="N4" s="18" t="str"/>
      <x:c r="O4" s="18" t="str"/>
      <x:c r="P4" s="15" t="str"/>
      <x:c r="Q4" s="15" t="str"/>
      <x:c r="R4" s="15" t="str">
        <x:v>Validate current process, owner, evidence, and effective date before publishing.</x:v>
      </x:c>
      <x:c r="S4" s="15" t="str"/>
    </x:row>
    <x:row r="5" ht="32" customHeight="1">
      <x:c r="A5" s="15" t="str">
        <x:v>GRPS-P004</x:v>
      </x:c>
      <x:c r="B5" s="15" t="str">
        <x:v>Title I Budget Allowability &amp; Technical Assistance</x:v>
      </x:c>
      <x:c r="C5" s="15" t="str">
        <x:v>Title I, Part A</x:v>
      </x:c>
      <x:c r="D5" s="15" t="str">
        <x:v>Section 2</x:v>
      </x:c>
      <x:c r="E5" s="15" t="str">
        <x:v>Indicator 2</x:v>
      </x:c>
      <x:c r="F5" s="15" t="str">
        <x:v>The LEA provides technical assistance and support to schools to ensure that school-level Title I, Part A budget requests are allowable in accordance with program legislation.</x:v>
      </x:c>
      <x:c r="G5" s="15" t="str">
        <x:v>GRPS District Level Title I Program Oversight Process DRAFT.doc; Non-Public Program Technical Assistance Packet (mentioned); David's Sample; Title I Technology - Equipment Process and Procedures revised 1-13-14.pdf</x:v>
      </x:c>
      <x:c r="H5" s="15" t="str">
        <x:v>Title I</x:v>
      </x:c>
      <x:c r="I5" s="15" t="str"/>
      <x:c r="J5" s="15" t="str">
        <x:v>Needs Review</x:v>
      </x:c>
      <x:c r="K5" s="15" t="str">
        <x:v>Partial / Needs Verification</x:v>
      </x:c>
      <x:c r="L5" s="15" t="str">
        <x:v>High</x:v>
      </x:c>
      <x:c r="M5" s="18" t="str"/>
      <x:c r="N5" s="18" t="str"/>
      <x:c r="O5" s="18" t="str"/>
      <x:c r="P5" s="15" t="str"/>
      <x:c r="Q5" s="15" t="str"/>
      <x:c r="R5" s="15" t="str">
        <x:v>Validate current process, owner, evidence, and effective date before publishing.</x:v>
      </x:c>
      <x:c r="S5" s="15" t="str">
        <x:v>Outline notes the oversight document mentions a Non-Public Program Technical Assistance Packet.</x:v>
      </x:c>
    </x:row>
    <x:row r="6" ht="32" customHeight="1">
      <x:c r="A6" s="15" t="str">
        <x:v>GRPS-P005</x:v>
      </x:c>
      <x:c r="B6" s="15" t="str">
        <x:v>Title I School-Level Decision-Making Authority</x:v>
      </x:c>
      <x:c r="C6" s="15" t="str">
        <x:v>Title I, Part A</x:v>
      </x:c>
      <x:c r="D6" s="15" t="str">
        <x:v>Section 2</x:v>
      </x:c>
      <x:c r="E6" s="15" t="str">
        <x:v>Indicator 3</x:v>
      </x:c>
      <x:c r="F6" s="15" t="str">
        <x:v>The LEA has implemented a written process to ensure that school-level decision-making authority exists for Title I, Part A program design, implementation, and evaluation.</x:v>
      </x:c>
      <x:c r="G6" s="15" t="str">
        <x:v>Section 2, Indicator 4 - School Level Decision Making Authority.docx; Section 2, Indicator 5 - Program Implementation.docx; Section 2, Indicator 12 - Evaluate district level programs.docx; David's Sample - Design; David's Sample - Implementation; David's Sample - Evaluation</x:v>
      </x:c>
      <x:c r="H6" s="15" t="str">
        <x:v>Title I</x:v>
      </x:c>
      <x:c r="I6" s="15" t="str"/>
      <x:c r="J6" s="15" t="str">
        <x:v>Needs Review</x:v>
      </x:c>
      <x:c r="K6" s="15" t="str">
        <x:v>Partial / Needs Verification</x:v>
      </x:c>
      <x:c r="L6" s="15" t="str">
        <x:v>High</x:v>
      </x:c>
      <x:c r="M6" s="18" t="str"/>
      <x:c r="N6" s="18" t="str"/>
      <x:c r="O6" s="18" t="str"/>
      <x:c r="P6" s="15" t="str"/>
      <x:c r="Q6" s="15" t="str"/>
      <x:c r="R6" s="15" t="str">
        <x:v>Validate current process, owner, evidence, and effective date before publishing.</x:v>
      </x:c>
      <x:c r="S6" s="15" t="str"/>
    </x:row>
    <x:row r="7" ht="32" customHeight="1">
      <x:c r="A7" s="15" t="str">
        <x:v>GRPS-P006</x:v>
      </x:c>
      <x:c r="B7" s="15" t="str">
        <x:v>Title I Annual Program Evaluation</x:v>
      </x:c>
      <x:c r="C7" s="15" t="str">
        <x:v>Title I, Part A</x:v>
      </x:c>
      <x:c r="D7" s="15" t="str">
        <x:v>Section 2</x:v>
      </x:c>
      <x:c r="E7" s="15" t="str">
        <x:v>Indicator 4</x:v>
      </x:c>
      <x:c r="F7" s="15" t="str">
        <x:v>The LEA has implemented a written process to ensure that Title I, Part A supplementary programs/services are evaluated annually for effectiveness and impact on student achievement.</x:v>
      </x:c>
      <x:c r="G7" s="15" t="str">
        <x:v>Section 2, Indicator 7 - Program Evaluation.docx; David's Sample - Implement; David's Sample - Evaluate; School Visitation Monitoring Procedures 1-6-15.pdf</x:v>
      </x:c>
      <x:c r="H7" s="15" t="str">
        <x:v>Title I</x:v>
      </x:c>
      <x:c r="I7" s="15" t="str"/>
      <x:c r="J7" s="15" t="str">
        <x:v>Needs Review</x:v>
      </x:c>
      <x:c r="K7" s="15" t="str">
        <x:v>Partial / Needs Verification</x:v>
      </x:c>
      <x:c r="L7" s="15" t="str">
        <x:v>High</x:v>
      </x:c>
      <x:c r="M7" s="18" t="str"/>
      <x:c r="N7" s="18" t="str"/>
      <x:c r="O7" s="18" t="str"/>
      <x:c r="P7" s="15" t="str"/>
      <x:c r="Q7" s="15" t="str"/>
      <x:c r="R7" s="15" t="str">
        <x:v>Validate current process, owner, evidence, and effective date before publishing.</x:v>
      </x:c>
      <x:c r="S7" s="15" t="str"/>
    </x:row>
    <x:row r="8" ht="32" customHeight="1">
      <x:c r="A8" s="15" t="str">
        <x:v>GRPS-P007</x:v>
      </x:c>
      <x:c r="B8" s="15" t="str">
        <x:v>Title I Parent &amp; Family Engagement Policy</x:v>
      </x:c>
      <x:c r="C8" s="15" t="str">
        <x:v>Title I, Part A</x:v>
      </x:c>
      <x:c r="D8" s="15" t="str">
        <x:v>Section 2</x:v>
      </x:c>
      <x:c r="E8" s="15" t="str">
        <x:v>Indicator 5</x:v>
      </x:c>
      <x:c r="F8" s="15" t="str">
        <x:v>The LEA has a written Parent and Family Engagement policy which has been developed jointly with parents to establish expectations and objectives for meaningful parent and family engagement in accordance with Section 1116 of ESEA.</x:v>
      </x:c>
      <x:c r="G8" s="15" t="str">
        <x:v>David's Sample</x:v>
      </x:c>
      <x:c r="H8" s="15" t="str">
        <x:v>FACE</x:v>
      </x:c>
      <x:c r="I8" s="15" t="str"/>
      <x:c r="J8" s="15" t="str">
        <x:v>Needs Review</x:v>
      </x:c>
      <x:c r="K8" s="15" t="str">
        <x:v>Partial / Needs Verification</x:v>
      </x:c>
      <x:c r="L8" s="15" t="str">
        <x:v>High</x:v>
      </x:c>
      <x:c r="M8" s="18" t="str"/>
      <x:c r="N8" s="18" t="str"/>
      <x:c r="O8" s="18" t="str"/>
      <x:c r="P8" s="15" t="str"/>
      <x:c r="Q8" s="15" t="str"/>
      <x:c r="R8" s="15" t="str">
        <x:v>Reconcile GRPS content with the updated MDE study guide before publishing.</x:v>
      </x:c>
      <x:c r="S8" s="15" t="str">
        <x:v>GRPS Section 2, Indicator 5 does not match the MDE updated study guide. If the LEA reserves funds for district-level activities.</x:v>
      </x:c>
    </x:row>
    <x:row r="9" ht="32" customHeight="1">
      <x:c r="A9" s="15" t="str">
        <x:v>GRPS-P008</x:v>
      </x:c>
      <x:c r="B9" s="15" t="str">
        <x:v>District-Level Stakeholder Involvement</x:v>
      </x:c>
      <x:c r="C9" s="15" t="str">
        <x:v>Title I, Part A</x:v>
      </x:c>
      <x:c r="D9" s="15" t="str">
        <x:v>Section 2</x:v>
      </x:c>
      <x:c r="E9" s="15" t="str">
        <x:v>Indicator 6</x:v>
      </x:c>
      <x:c r="F9" s="15" t="str">
        <x:v>The LEA has implemented a written process to ensure stakeholders’ involvement in district-level program decisionmaking.</x:v>
      </x:c>
      <x:c r="G9" s="15" t="str">
        <x:v>Section 2, Indicator 11 - Stakeholder's involvement district-level program decision making.doc</x:v>
      </x:c>
      <x:c r="H9" s="15" t="str">
        <x:v>Title I</x:v>
      </x:c>
      <x:c r="I9" s="15" t="str"/>
      <x:c r="J9" s="15" t="str">
        <x:v>Needs Review</x:v>
      </x:c>
      <x:c r="K9" s="15" t="str">
        <x:v>Partial / Needs Verification</x:v>
      </x:c>
      <x:c r="L9" s="15" t="str">
        <x:v>High</x:v>
      </x:c>
      <x:c r="M9" s="18" t="str"/>
      <x:c r="N9" s="18" t="str"/>
      <x:c r="O9" s="18" t="str"/>
      <x:c r="P9" s="15" t="str"/>
      <x:c r="Q9" s="15" t="str"/>
      <x:c r="R9" s="15" t="str">
        <x:v>Validate current process, owner, evidence, and effective date before publishing.</x:v>
      </x:c>
      <x:c r="S9" s="15" t="str"/>
    </x:row>
    <x:row r="10" ht="32" customHeight="1">
      <x:c r="A10" s="15" t="str">
        <x:v>GRPS-P009</x:v>
      </x:c>
      <x:c r="B10" s="15" t="str">
        <x:v>Title I 1% Parent Involvement Reservation Decision-Making</x:v>
      </x:c>
      <x:c r="C10" s="15" t="str">
        <x:v>Title I, Part A</x:v>
      </x:c>
      <x:c r="D10" s="15" t="str">
        <x:v>Section 2</x:v>
      </x:c>
      <x:c r="E10" s="15" t="str">
        <x:v>Indicator 7</x:v>
      </x:c>
      <x:c r="F10" s="15" t="str">
        <x:v>In LEAs where the Title I allocation is more than $500,000, parents are involved in the decision of the use of the 1% reservation for parental involvement initiatives/activities.</x:v>
      </x:c>
      <x:c r="G10" s="15" t="str">
        <x:v>David's Sample</x:v>
      </x:c>
      <x:c r="H10" s="15" t="str">
        <x:v>FACE, Title I</x:v>
      </x:c>
      <x:c r="I10" s="15" t="str"/>
      <x:c r="J10" s="15" t="str">
        <x:v>Needs Review</x:v>
      </x:c>
      <x:c r="K10" s="15" t="str">
        <x:v>Partial / Needs Verification</x:v>
      </x:c>
      <x:c r="L10" s="15" t="str">
        <x:v>High</x:v>
      </x:c>
      <x:c r="M10" s="18" t="str"/>
      <x:c r="N10" s="18" t="str"/>
      <x:c r="O10" s="18" t="str"/>
      <x:c r="P10" s="15" t="str"/>
      <x:c r="Q10" s="15" t="str"/>
      <x:c r="R10" s="15" t="str">
        <x:v>Validate current process, owner, evidence, and effective date before publishing.</x:v>
      </x:c>
      <x:c r="S10" s="15" t="str"/>
    </x:row>
    <x:row r="11" ht="32" customHeight="1">
      <x:c r="A11" s="15" t="str">
        <x:v>GRPS-P010</x:v>
      </x:c>
      <x:c r="B11" s="15" t="str">
        <x:v>Title I Parent Involvement Reservation Stakeholder Collaboration</x:v>
      </x:c>
      <x:c r="C11" s="15" t="str">
        <x:v>Title I, Part A</x:v>
      </x:c>
      <x:c r="D11" s="15" t="str">
        <x:v>Section 2</x:v>
      </x:c>
      <x:c r="E11" s="15" t="str">
        <x:v>Indicator 8</x:v>
      </x:c>
      <x:c r="F11" s="15" t="str">
        <x:v>If the LEA reserved more than 1% for parental involvement initiatives/activities, collaboration with stakeholders was conducted and support from stakeholders was received.</x:v>
      </x:c>
      <x:c r="G11" s="15" t="str">
        <x:v>David's Sample</x:v>
      </x:c>
      <x:c r="H11" s="15" t="str">
        <x:v>FACE/Title I</x:v>
      </x:c>
      <x:c r="I11" s="15" t="str"/>
      <x:c r="J11" s="15" t="str">
        <x:v>Needs Review</x:v>
      </x:c>
      <x:c r="K11" s="15" t="str">
        <x:v>Partial / Needs Verification</x:v>
      </x:c>
      <x:c r="L11" s="15" t="str">
        <x:v>High</x:v>
      </x:c>
      <x:c r="M11" s="18" t="str"/>
      <x:c r="N11" s="18" t="str"/>
      <x:c r="O11" s="18" t="str"/>
      <x:c r="P11" s="15" t="str"/>
      <x:c r="Q11" s="15" t="str"/>
      <x:c r="R11" s="15" t="str">
        <x:v>Validate current process, owner, evidence, and effective date before publishing.</x:v>
      </x:c>
      <x:c r="S11" s="15" t="str"/>
    </x:row>
    <x:row r="12" ht="32" customHeight="1">
      <x:c r="A12" s="15" t="str">
        <x:v>GRPS-P011</x:v>
      </x:c>
      <x:c r="B12" s="15" t="str">
        <x:v>Private School Program Planning &amp; Evaluation</x:v>
      </x:c>
      <x:c r="C12" s="15" t="str">
        <x:v>Title I, Part A - Private Schools</x:v>
      </x:c>
      <x:c r="D12" s="15" t="str">
        <x:v>Section 2 (Private Schools)</x:v>
      </x:c>
      <x:c r="E12" s="15" t="str">
        <x:v>Indicator 1</x:v>
      </x:c>
      <x:c r="F12" s="15" t="str">
        <x:v>Private school representatives are included in program planning and evaluation.</x:v>
      </x:c>
      <x:c r="G12" s="15" t="str">
        <x:v>David's Sample; Non-public steps to invite 1-6-15.pdf</x:v>
      </x:c>
      <x:c r="H12" s="15" t="str">
        <x:v>Title I Part A</x:v>
      </x:c>
      <x:c r="I12" s="15" t="str"/>
      <x:c r="J12" s="15" t="str">
        <x:v>Needs Review</x:v>
      </x:c>
      <x:c r="K12" s="15" t="str">
        <x:v>Partial / Needs Verification</x:v>
      </x:c>
      <x:c r="L12" s="15" t="str">
        <x:v>Medium</x:v>
      </x:c>
      <x:c r="M12" s="18" t="str"/>
      <x:c r="N12" s="18" t="str"/>
      <x:c r="O12" s="18" t="str"/>
      <x:c r="P12" s="15" t="str"/>
      <x:c r="Q12" s="15" t="str"/>
      <x:c r="R12" s="15" t="str">
        <x:v>Validate current process, owner, evidence, and effective date before publishing.</x:v>
      </x:c>
      <x:c r="S12" s="15" t="str"/>
    </x:row>
    <x:row r="13" ht="32" customHeight="1">
      <x:c r="A13" s="15" t="str">
        <x:v>GRPS-P012</x:v>
      </x:c>
      <x:c r="B13" s="15" t="str">
        <x:v>Private School Ongoing Communication</x:v>
      </x:c>
      <x:c r="C13" s="15" t="str">
        <x:v>Title I, Part A - Private Schools</x:v>
      </x:c>
      <x:c r="D13" s="15" t="str">
        <x:v>Section 2 (Private Schools)</x:v>
      </x:c>
      <x:c r="E13" s="15" t="str">
        <x:v>Indicator 2</x:v>
      </x:c>
      <x:c r="F13" s="15" t="str">
        <x:v>The LEA and the private school have ongoing communication.</x:v>
      </x:c>
      <x:c r="G13" s="15" t="str">
        <x:v>GRPS District Level Title I Program Oversight Process DRAFT.doc; David's Sample</x:v>
      </x:c>
      <x:c r="H13" s="15" t="str">
        <x:v>Title I Part A</x:v>
      </x:c>
      <x:c r="I13" s="15" t="str"/>
      <x:c r="J13" s="15" t="str">
        <x:v>Needs Review</x:v>
      </x:c>
      <x:c r="K13" s="15" t="str">
        <x:v>Partial / Needs Verification</x:v>
      </x:c>
      <x:c r="L13" s="15" t="str">
        <x:v>Medium</x:v>
      </x:c>
      <x:c r="M13" s="18" t="str"/>
      <x:c r="N13" s="18" t="str"/>
      <x:c r="O13" s="18" t="str"/>
      <x:c r="P13" s="15" t="str"/>
      <x:c r="Q13" s="15" t="str"/>
      <x:c r="R13" s="15" t="str">
        <x:v>Validate current process, owner, evidence, and effective date before publishing.</x:v>
      </x:c>
      <x:c r="S13" s="15" t="str"/>
    </x:row>
    <x:row r="14" ht="32" customHeight="1">
      <x:c r="A14" s="15" t="str">
        <x:v>GRPS-P013</x:v>
      </x:c>
      <x:c r="B14" s="15" t="str">
        <x:v>Private School Needs Assessment</x:v>
      </x:c>
      <x:c r="C14" s="15" t="str">
        <x:v>Title I, Part A - Private Schools</x:v>
      </x:c>
      <x:c r="D14" s="15" t="str">
        <x:v>Section 2 (Private Schools)</x:v>
      </x:c>
      <x:c r="E14" s="15" t="str">
        <x:v>Indicator 3</x:v>
      </x:c>
      <x:c r="F14" s="15" t="str">
        <x:v>A needs assessment for the private school in the core academic curriculum areas is used to determine Title I, Part A services.</x:v>
      </x:c>
      <x:c r="G14" s="15" t="str">
        <x:v>GRPS District Level Title I Program Oversight Process DRAFT.doc; David's Sample</x:v>
      </x:c>
      <x:c r="H14" s="15" t="str">
        <x:v>Title I Part A</x:v>
      </x:c>
      <x:c r="I14" s="15" t="str"/>
      <x:c r="J14" s="15" t="str">
        <x:v>Needs Review</x:v>
      </x:c>
      <x:c r="K14" s="15" t="str">
        <x:v>Partial / Needs Verification</x:v>
      </x:c>
      <x:c r="L14" s="15" t="str">
        <x:v>Medium</x:v>
      </x:c>
      <x:c r="M14" s="18" t="str"/>
      <x:c r="N14" s="18" t="str"/>
      <x:c r="O14" s="18" t="str"/>
      <x:c r="P14" s="15" t="str"/>
      <x:c r="Q14" s="15" t="str"/>
      <x:c r="R14" s="15" t="str">
        <x:v>Validate sufficiency of evidence and add supporting artifacts if needed.</x:v>
      </x:c>
      <x:c r="S14" s="15" t="str">
        <x:v>Outline notes the document mentions sharing program planning with school staff; more evidence may be needed.</x:v>
      </x:c>
    </x:row>
    <x:row r="15" ht="32" customHeight="1">
      <x:c r="A15" s="15" t="str">
        <x:v>GRPS-P014</x:v>
      </x:c>
      <x:c r="B15" s="15" t="str">
        <x:v>Neglected Program Needs Assessment</x:v>
      </x:c>
      <x:c r="C15" s="15" t="str">
        <x:v>Title I, Part D - Neglected</x:v>
      </x:c>
      <x:c r="D15" s="15" t="str">
        <x:v>Section 2 (Neglected)</x:v>
      </x:c>
      <x:c r="E15" s="15" t="str">
        <x:v>Indicator 1</x:v>
      </x:c>
      <x:c r="F15" s="15" t="str">
        <x:v>Programs/services are based on a needs assessment.</x:v>
      </x:c>
      <x:c r="G15" s="15" t="str">
        <x:v>Title I Part D - Subpart 2 Procedures 1_16_15.pdf</x:v>
      </x:c>
      <x:c r="H15" s="15" t="str">
        <x:v>Title I, Part D</x:v>
      </x:c>
      <x:c r="I15" s="15" t="str"/>
      <x:c r="J15" s="15" t="str">
        <x:v>Needs Review</x:v>
      </x:c>
      <x:c r="K15" s="15" t="str">
        <x:v>Partial / Needs Verification</x:v>
      </x:c>
      <x:c r="L15" s="15" t="str">
        <x:v>Medium</x:v>
      </x:c>
      <x:c r="M15" s="18" t="str"/>
      <x:c r="N15" s="18" t="str"/>
      <x:c r="O15" s="18" t="str"/>
      <x:c r="P15" s="15" t="str"/>
      <x:c r="Q15" s="15" t="str"/>
      <x:c r="R15" s="15" t="str">
        <x:v>Validate current process, owner, evidence, and effective date before publishing.</x:v>
      </x:c>
      <x:c r="S15" s="15" t="str"/>
    </x:row>
    <x:row r="16" ht="32" customHeight="1">
      <x:c r="A16" s="15" t="str">
        <x:v>GRPS-P015</x:v>
      </x:c>
      <x:c r="B16" s="15" t="str">
        <x:v>Neglected Supplemental Services</x:v>
      </x:c>
      <x:c r="C16" s="15" t="str">
        <x:v>Title I, Part D - Neglected</x:v>
      </x:c>
      <x:c r="D16" s="15" t="str">
        <x:v>Section 2 (Neglected)</x:v>
      </x:c>
      <x:c r="E16" s="15" t="str">
        <x:v>Indicator 2</x:v>
      </x:c>
      <x:c r="F16" s="15" t="str">
        <x:v>Programs/services are supplementary to the core instructional program.</x:v>
      </x:c>
      <x:c r="G16" s="15" t="str">
        <x:v>Title I Part D - Subpart 2 Procedures 1_16_15.pdf</x:v>
      </x:c>
      <x:c r="H16" s="15" t="str">
        <x:v>Title I, Part D</x:v>
      </x:c>
      <x:c r="I16" s="15" t="str"/>
      <x:c r="J16" s="15" t="str">
        <x:v>Needs Review</x:v>
      </x:c>
      <x:c r="K16" s="15" t="str">
        <x:v>Partial / Needs Verification</x:v>
      </x:c>
      <x:c r="L16" s="15" t="str">
        <x:v>Medium</x:v>
      </x:c>
      <x:c r="M16" s="18" t="str"/>
      <x:c r="N16" s="18" t="str"/>
      <x:c r="O16" s="18" t="str"/>
      <x:c r="P16" s="15" t="str"/>
      <x:c r="Q16" s="15" t="str"/>
      <x:c r="R16" s="15" t="str">
        <x:v>Validate current process, owner, evidence, and effective date before publishing.</x:v>
      </x:c>
      <x:c r="S16" s="15" t="str"/>
    </x:row>
    <x:row r="17" ht="32" customHeight="1">
      <x:c r="A17" s="15" t="str">
        <x:v>GRPS-P016</x:v>
      </x:c>
      <x:c r="B17" s="15" t="str">
        <x:v>Neglected Program Oversight</x:v>
      </x:c>
      <x:c r="C17" s="15" t="str">
        <x:v>Title I, Part D - Neglected</x:v>
      </x:c>
      <x:c r="D17" s="15" t="str">
        <x:v>Section 2 (Neglected)</x:v>
      </x:c>
      <x:c r="E17" s="15" t="str">
        <x:v>Indicator 3</x:v>
      </x:c>
      <x:c r="F17" s="15" t="str">
        <x:v>The LEA provides oversight for programs/services.</x:v>
      </x:c>
      <x:c r="G17" s="15" t="str">
        <x:v>Title I Part D - Student Services Procedures.pdf; School Visitation Monitoring Procedures 1-6-15.pdf</x:v>
      </x:c>
      <x:c r="H17" s="15" t="str">
        <x:v>Title I, Part D</x:v>
      </x:c>
      <x:c r="I17" s="15" t="str"/>
      <x:c r="J17" s="15" t="str">
        <x:v>Needs Review</x:v>
      </x:c>
      <x:c r="K17" s="15" t="str">
        <x:v>Partial / Needs Verification</x:v>
      </x:c>
      <x:c r="L17" s="15" t="str">
        <x:v>Medium</x:v>
      </x:c>
      <x:c r="M17" s="18" t="str"/>
      <x:c r="N17" s="18" t="str"/>
      <x:c r="O17" s="18" t="str"/>
      <x:c r="P17" s="15" t="str"/>
      <x:c r="Q17" s="15" t="str"/>
      <x:c r="R17" s="15" t="str">
        <x:v>Validate current process, owner, evidence, and effective date before publishing.</x:v>
      </x:c>
      <x:c r="S17" s="15" t="str"/>
    </x:row>
    <x:row r="18" ht="32" customHeight="1">
      <x:c r="A18" s="15" t="str">
        <x:v>GRPS-P017</x:v>
      </x:c>
      <x:c r="B18" s="15" t="str">
        <x:v>Neglected Annual Program Evaluation</x:v>
      </x:c>
      <x:c r="C18" s="15" t="str">
        <x:v>Title I, Part D - Neglected</x:v>
      </x:c>
      <x:c r="D18" s="15" t="str">
        <x:v>Section 2 (Neglected)</x:v>
      </x:c>
      <x:c r="E18" s="15" t="str">
        <x:v>Indicator 4</x:v>
      </x:c>
      <x:c r="F18" s="15" t="str">
        <x:v>Programs/services are evaluated annually for effectiveness and impact on student achievement.</x:v>
      </x:c>
      <x:c r="G18" s="15" t="str">
        <x:v>Title I Part D - Student Services Procedures.pdf</x:v>
      </x:c>
      <x:c r="H18" s="15" t="str">
        <x:v>Title I, Part D</x:v>
      </x:c>
      <x:c r="I18" s="15" t="str"/>
      <x:c r="J18" s="15" t="str">
        <x:v>Needs Review</x:v>
      </x:c>
      <x:c r="K18" s="15" t="str">
        <x:v>Partial / Needs Verification</x:v>
      </x:c>
      <x:c r="L18" s="15" t="str">
        <x:v>Medium</x:v>
      </x:c>
      <x:c r="M18" s="18" t="str"/>
      <x:c r="N18" s="18" t="str"/>
      <x:c r="O18" s="18" t="str"/>
      <x:c r="P18" s="15" t="str"/>
      <x:c r="Q18" s="15" t="str"/>
      <x:c r="R18" s="15" t="str">
        <x:v>Validate current process, owner, evidence, and effective date before publishing.</x:v>
      </x:c>
      <x:c r="S18" s="15" t="str"/>
    </x:row>
    <x:row r="19" ht="32" customHeight="1">
      <x:c r="A19" s="15" t="str">
        <x:v>GRPS-P018</x:v>
      </x:c>
      <x:c r="B19" s="15" t="str">
        <x:v>Delinquent Program Needs Assessment</x:v>
      </x:c>
      <x:c r="C19" s="15" t="str">
        <x:v>Title I, Part D - Delinquent</x:v>
      </x:c>
      <x:c r="D19" s="15" t="str">
        <x:v>Section 2 (Delinquent)</x:v>
      </x:c>
      <x:c r="E19" s="15" t="str">
        <x:v>Indicator 1</x:v>
      </x:c>
      <x:c r="F19" s="15" t="str">
        <x:v>Supplementary programs/services are based on a needs assessment.</x:v>
      </x:c>
      <x:c r="G19" s="15" t="str">
        <x:v>Sample 1 District Level Title I Part A Program Oversight Process.pdf</x:v>
      </x:c>
      <x:c r="H19" s="15" t="str">
        <x:v>Title I Part D</x:v>
      </x:c>
      <x:c r="I19" s="15" t="str"/>
      <x:c r="J19" s="15" t="str">
        <x:v>Needs Review</x:v>
      </x:c>
      <x:c r="K19" s="15" t="str">
        <x:v>Partial / Needs Verification</x:v>
      </x:c>
      <x:c r="L19" s="15" t="str">
        <x:v>Medium</x:v>
      </x:c>
      <x:c r="M19" s="18" t="str"/>
      <x:c r="N19" s="18" t="str"/>
      <x:c r="O19" s="18" t="str"/>
      <x:c r="P19" s="15" t="str"/>
      <x:c r="Q19" s="15" t="str"/>
      <x:c r="R19" s="15" t="str">
        <x:v>Validate current process, owner, evidence, and effective date before publishing.</x:v>
      </x:c>
      <x:c r="S19" s="15" t="str"/>
    </x:row>
    <x:row r="20" ht="32" customHeight="1">
      <x:c r="A20" s="15" t="str">
        <x:v>GRPS-P019</x:v>
      </x:c>
      <x:c r="B20" s="15" t="str">
        <x:v>Facility Stakeholder Collaboration &amp; Budget</x:v>
      </x:c>
      <x:c r="C20" s="15" t="str">
        <x:v>Title I, Part D - Delinquent</x:v>
      </x:c>
      <x:c r="D20" s="15" t="str">
        <x:v>Section 2 (Delinquent)</x:v>
      </x:c>
      <x:c r="E20" s="15" t="str">
        <x:v>Indicator 2</x:v>
      </x:c>
      <x:c r="F20" s="15" t="str">
        <x:v>The LEA collaborates with the facility stakeholders regarding program needs and the budget.</x:v>
      </x:c>
      <x:c r="G20" s="15" t="str">
        <x:v>Title I, Part D, Indicator 2.docx</x:v>
      </x:c>
      <x:c r="H20" s="15" t="str">
        <x:v>Title I Part D</x:v>
      </x:c>
      <x:c r="I20" s="15" t="str"/>
      <x:c r="J20" s="15" t="str">
        <x:v>Needs Review</x:v>
      </x:c>
      <x:c r="K20" s="15" t="str">
        <x:v>Partial / Needs Verification</x:v>
      </x:c>
      <x:c r="L20" s="15" t="str">
        <x:v>Medium</x:v>
      </x:c>
      <x:c r="M20" s="18" t="str"/>
      <x:c r="N20" s="18" t="str"/>
      <x:c r="O20" s="18" t="str"/>
      <x:c r="P20" s="15" t="str"/>
      <x:c r="Q20" s="15" t="str"/>
      <x:c r="R20" s="15" t="str">
        <x:v>Validate current process, owner, evidence, and effective date before publishing.</x:v>
      </x:c>
      <x:c r="S20" s="15" t="str"/>
    </x:row>
    <x:row r="21" ht="32" customHeight="1">
      <x:c r="A21" s="15" t="str">
        <x:v>GRPS-P020</x:v>
      </x:c>
      <x:c r="B21" s="15" t="str">
        <x:v>Delinquent Program Oversight &amp; Formal Agreements</x:v>
      </x:c>
      <x:c r="C21" s="15" t="str">
        <x:v>Title I, Part D - Delinquent</x:v>
      </x:c>
      <x:c r="D21" s="15" t="str">
        <x:v>Section 2 (Delinquent)</x:v>
      </x:c>
      <x:c r="E21" s="15" t="str">
        <x:v>Indicator 3</x:v>
      </x:c>
      <x:c r="F21" s="15" t="str">
        <x:v>The LEA provides oversight for supplementary programs/services while maintaining a formal agreement with the facility and service provider.</x:v>
      </x:c>
      <x:c r="G21" s="15" t="str">
        <x:v>Title I, Part D, Indicator 3.docx; School Visitation Monitoring Procedures 1-6-15.pdf</x:v>
      </x:c>
      <x:c r="H21" s="15" t="str">
        <x:v>Title I Part D</x:v>
      </x:c>
      <x:c r="I21" s="15" t="str"/>
      <x:c r="J21" s="15" t="str">
        <x:v>Needs Review</x:v>
      </x:c>
      <x:c r="K21" s="15" t="str">
        <x:v>Partial / Needs Verification</x:v>
      </x:c>
      <x:c r="L21" s="15" t="str">
        <x:v>Medium</x:v>
      </x:c>
      <x:c r="M21" s="18" t="str"/>
      <x:c r="N21" s="18" t="str"/>
      <x:c r="O21" s="18" t="str"/>
      <x:c r="P21" s="15" t="str"/>
      <x:c r="Q21" s="15" t="str"/>
      <x:c r="R21" s="15" t="str">
        <x:v>Validate current process, owner, evidence, and effective date before publishing.</x:v>
      </x:c>
      <x:c r="S21" s="15" t="str"/>
    </x:row>
    <x:row r="22" ht="32" customHeight="1">
      <x:c r="A22" s="15" t="str">
        <x:v>GRPS-P021</x:v>
      </x:c>
      <x:c r="B22" s="15" t="str">
        <x:v>Delinquent Annual Program Review</x:v>
      </x:c>
      <x:c r="C22" s="15" t="str">
        <x:v>Title I, Part D - Delinquent</x:v>
      </x:c>
      <x:c r="D22" s="15" t="str">
        <x:v>Section 2 (Delinquent)</x:v>
      </x:c>
      <x:c r="E22" s="15" t="str">
        <x:v>Indicator 4</x:v>
      </x:c>
      <x:c r="F22" s="15" t="str">
        <x:v>Supplementary programs/services are reviewed annually for effectiveness and impact on student achievement.</x:v>
      </x:c>
      <x:c r="G22" s="15" t="str">
        <x:v>Sample 1 District Level Title I Part A Program Oversight Process.pdf</x:v>
      </x:c>
      <x:c r="H22" s="15" t="str">
        <x:v>Title I Part D</x:v>
      </x:c>
      <x:c r="I22" s="15" t="str"/>
      <x:c r="J22" s="15" t="str">
        <x:v>Needs Review</x:v>
      </x:c>
      <x:c r="K22" s="15" t="str">
        <x:v>Partial / Needs Verification</x:v>
      </x:c>
      <x:c r="L22" s="15" t="str">
        <x:v>Medium</x:v>
      </x:c>
      <x:c r="M22" s="18" t="str"/>
      <x:c r="N22" s="18" t="str"/>
      <x:c r="O22" s="18" t="str"/>
      <x:c r="P22" s="15" t="str"/>
      <x:c r="Q22" s="15" t="str"/>
      <x:c r="R22" s="15" t="str">
        <x:v>Validate current process, owner, evidence, and effective date before publishing.</x:v>
      </x:c>
      <x:c r="S22" s="15" t="str"/>
    </x:row>
    <x:row r="23" ht="32" customHeight="1">
      <x:c r="A23" s="15" t="str">
        <x:v>GRPS-P022</x:v>
      </x:c>
      <x:c r="B23" s="15" t="str">
        <x:v>Delinquent Transition Services</x:v>
      </x:c>
      <x:c r="C23" s="15" t="str">
        <x:v>Title I, Part D - Delinquent</x:v>
      </x:c>
      <x:c r="D23" s="15" t="str">
        <x:v>Section 2 (Delinquent)</x:v>
      </x:c>
      <x:c r="E23" s="15" t="str">
        <x:v>Indicator 5</x:v>
      </x:c>
      <x:c r="F23" s="15" t="str">
        <x:v>The LEA ensures that transition services are provided to children and youth between the facilities and locally operated programs (including LEAs, Alternate Education Programs, Higher Education, Community Workforce) upon entry and exit from the facility.</x:v>
      </x:c>
      <x:c r="G23" s="15" t="str">
        <x:v>Sample 1 District Level Title I Part A Program Oversight Process.pdf</x:v>
      </x:c>
      <x:c r="H23" s="15" t="str">
        <x:v>Title I Part D</x:v>
      </x:c>
      <x:c r="I23" s="15" t="str"/>
      <x:c r="J23" s="15" t="str">
        <x:v>Needs Review</x:v>
      </x:c>
      <x:c r="K23" s="15" t="str">
        <x:v>Partial / Needs Verification</x:v>
      </x:c>
      <x:c r="L23" s="15" t="str">
        <x:v>Medium</x:v>
      </x:c>
      <x:c r="M23" s="18" t="str"/>
      <x:c r="N23" s="18" t="str"/>
      <x:c r="O23" s="18" t="str"/>
      <x:c r="P23" s="15" t="str"/>
      <x:c r="Q23" s="15" t="str"/>
      <x:c r="R23" s="15" t="str">
        <x:v>Validate current process, owner, evidence, and effective date before publishing.</x:v>
      </x:c>
      <x:c r="S23" s="15" t="str"/>
    </x:row>
    <x:row r="24" ht="32" customHeight="1">
      <x:c r="A24" s="15" t="str">
        <x:v>GRPS-P023</x:v>
      </x:c>
      <x:c r="B24" s="15" t="str">
        <x:v>Title II Professional Learning Needs Assessment</x:v>
      </x:c>
      <x:c r="C24" s="15" t="str">
        <x:v>Title II, Part A</x:v>
      </x:c>
      <x:c r="D24" s="15" t="str">
        <x:v>Section 2 (Title II, Part A)</x:v>
      </x:c>
      <x:c r="E24" s="15" t="str">
        <x:v>Indicator 1</x:v>
      </x:c>
      <x:c r="F24" s="15" t="str">
        <x:v>A needs assessment is conducted to determine the focus of PL efforts.</x:v>
      </x:c>
      <x:c r="G24" s="15" t="str">
        <x:v>Professional Development Plan Procedures.pdf; Title II Part A Procedures 1_16_15.pdf</x:v>
      </x:c>
      <x:c r="H24" s="15" t="str">
        <x:v>N/A</x:v>
      </x:c>
      <x:c r="I24" s="15" t="str"/>
      <x:c r="J24" s="15" t="str">
        <x:v>Needs Review</x:v>
      </x:c>
      <x:c r="K24" s="15" t="str">
        <x:v>Partial / Needs Verification</x:v>
      </x:c>
      <x:c r="L24" s="15" t="str">
        <x:v>Medium</x:v>
      </x:c>
      <x:c r="M24" s="18" t="str"/>
      <x:c r="N24" s="18" t="str"/>
      <x:c r="O24" s="18" t="str"/>
      <x:c r="P24" s="15" t="str"/>
      <x:c r="Q24" s="15" t="str"/>
      <x:c r="R24" s="15" t="str">
        <x:v>Validate current process, owner, evidence, and effective date before publishing.</x:v>
      </x:c>
      <x:c r="S24" s="15" t="str">
        <x:v>Team involvement listed as N/A in outline.</x:v>
      </x:c>
    </x:row>
    <x:row r="25" ht="32" customHeight="1">
      <x:c r="A25" s="15" t="str">
        <x:v>GRPS-P024</x:v>
      </x:c>
      <x:c r="B25" s="15" t="str">
        <x:v>Sustained Evidence-Based Professional Learning</x:v>
      </x:c>
      <x:c r="C25" s="15" t="str">
        <x:v>Title II, Part A</x:v>
      </x:c>
      <x:c r="D25" s="15" t="str">
        <x:v>Section 2 (Title II, Part A)</x:v>
      </x:c>
      <x:c r="E25" s="15" t="str">
        <x:v>Indicator 2</x:v>
      </x:c>
      <x:c r="F25" s="15" t="str">
        <x:v>PL activities are sustained/ongoing and based on evidence.</x:v>
      </x:c>
      <x:c r="G25" s="15" t="str">
        <x:v>Professional Development Plan Procedures.pdf; Title II Part A Procedures 1_16_15.pdf</x:v>
      </x:c>
      <x:c r="H25" s="15" t="str">
        <x:v>N/A</x:v>
      </x:c>
      <x:c r="I25" s="15" t="str"/>
      <x:c r="J25" s="15" t="str">
        <x:v>Needs Review</x:v>
      </x:c>
      <x:c r="K25" s="15" t="str">
        <x:v>Partial / Needs Verification</x:v>
      </x:c>
      <x:c r="L25" s="15" t="str">
        <x:v>Medium</x:v>
      </x:c>
      <x:c r="M25" s="18" t="str"/>
      <x:c r="N25" s="18" t="str"/>
      <x:c r="O25" s="18" t="str"/>
      <x:c r="P25" s="15" t="str"/>
      <x:c r="Q25" s="15" t="str"/>
      <x:c r="R25" s="15" t="str">
        <x:v>Validate current process, owner, evidence, and effective date before publishing.</x:v>
      </x:c>
      <x:c r="S25" s="15" t="str">
        <x:v>Team involvement listed as N/A in outline.</x:v>
      </x:c>
    </x:row>
    <x:row r="26" ht="32" customHeight="1">
      <x:c r="A26" s="15" t="str">
        <x:v>GRPS-P025</x:v>
      </x:c>
      <x:c r="B26" s="15" t="str">
        <x:v>Title II Professional Learning Impact Evaluation</x:v>
      </x:c>
      <x:c r="C26" s="15" t="str">
        <x:v>Title II, Part A</x:v>
      </x:c>
      <x:c r="D26" s="15" t="str">
        <x:v>Section 2 (Title II, Part A)</x:v>
      </x:c>
      <x:c r="E26" s="15" t="str">
        <x:v>Indicator 3</x:v>
      </x:c>
      <x:c r="F26" s="15" t="str">
        <x:v>The LEA has implemented a written process to evaluate how Title II, Part A activities will impact student achievement.</x:v>
      </x:c>
      <x:c r="G26" s="15" t="str">
        <x:v>Professional Development Plan Procedures.pdf; Title II Part A Procedures 1_16_15.pdf</x:v>
      </x:c>
      <x:c r="H26" s="15" t="str">
        <x:v>N/A</x:v>
      </x:c>
      <x:c r="I26" s="15" t="str"/>
      <x:c r="J26" s="15" t="str">
        <x:v>Needs Review</x:v>
      </x:c>
      <x:c r="K26" s="15" t="str">
        <x:v>Partial / Needs Verification</x:v>
      </x:c>
      <x:c r="L26" s="15" t="str">
        <x:v>Medium</x:v>
      </x:c>
      <x:c r="M26" s="18" t="str"/>
      <x:c r="N26" s="18" t="str"/>
      <x:c r="O26" s="18" t="str"/>
      <x:c r="P26" s="15" t="str"/>
      <x:c r="Q26" s="15" t="str"/>
      <x:c r="R26" s="15" t="str">
        <x:v>Validate current process, owner, evidence, and effective date before publishing.</x:v>
      </x:c>
      <x:c r="S26" s="15" t="str">
        <x:v>Team involvement listed as N/A in outline.</x:v>
      </x:c>
    </x:row>
    <x:row r="27" ht="32" customHeight="1">
      <x:c r="A27" s="15" t="str">
        <x:v>GRPS-P026</x:v>
      </x:c>
      <x:c r="B27" s="15" t="str">
        <x:v>Title II Supplement, Not Supplant</x:v>
      </x:c>
      <x:c r="C27" s="15" t="str">
        <x:v>Title II, Part A</x:v>
      </x:c>
      <x:c r="D27" s="15" t="str">
        <x:v>Section 2 (Title II, Part A)</x:v>
      </x:c>
      <x:c r="E27" s="15" t="str">
        <x:v>Indicator 4</x:v>
      </x:c>
      <x:c r="F27" s="15" t="str">
        <x:v>The LEA has implemented a written process to ensure that Title II, Part A programs and initiatives meet supplement, not supplant requirements.</x:v>
      </x:c>
      <x:c r="G27" s="15" t="str">
        <x:v>Professional Development Plan Procedures.pdf; Title II Part A Procedures 1_16_15.pdf</x:v>
      </x:c>
      <x:c r="H27" s="15" t="str">
        <x:v>N/A</x:v>
      </x:c>
      <x:c r="I27" s="15" t="str"/>
      <x:c r="J27" s="15" t="str">
        <x:v>Needs Review</x:v>
      </x:c>
      <x:c r="K27" s="15" t="str">
        <x:v>Partial / Needs Verification</x:v>
      </x:c>
      <x:c r="L27" s="15" t="str">
        <x:v>Medium</x:v>
      </x:c>
      <x:c r="M27" s="18" t="str"/>
      <x:c r="N27" s="18" t="str"/>
      <x:c r="O27" s="18" t="str"/>
      <x:c r="P27" s="15" t="str"/>
      <x:c r="Q27" s="15" t="str"/>
      <x:c r="R27" s="15" t="str">
        <x:v>Validate current process, owner, evidence, and effective date before publishing.</x:v>
      </x:c>
      <x:c r="S27" s="15" t="str">
        <x:v>Team involvement listed as N/A in outline.</x:v>
      </x:c>
    </x:row>
    <x:row r="28" ht="32" customHeight="1">
      <x:c r="A28" s="15" t="str">
        <x:v>GRPS-P027</x:v>
      </x:c>
      <x:c r="B28" s="15" t="str">
        <x:v>Research-Based Professional Learning in Improvement Plan</x:v>
      </x:c>
      <x:c r="C28" s="15" t="str">
        <x:v>Title II, Part A</x:v>
      </x:c>
      <x:c r="D28" s="15" t="str">
        <x:v>Section 2 (Title II, Part A)</x:v>
      </x:c>
      <x:c r="E28" s="15" t="str">
        <x:v>Indicator 5</x:v>
      </x:c>
      <x:c r="F28" s="15" t="str">
        <x:v>The improvement plan includes PL activities that reflect research on teaching and learning.</x:v>
      </x:c>
      <x:c r="G28" s="15" t="str">
        <x:v>District Improvement Process 4-15-15.pdf</x:v>
      </x:c>
      <x:c r="H28" s="15" t="str">
        <x:v>N/A</x:v>
      </x:c>
      <x:c r="I28" s="15" t="str"/>
      <x:c r="J28" s="15" t="str">
        <x:v>Needs Review</x:v>
      </x:c>
      <x:c r="K28" s="15" t="str">
        <x:v>Partial / Needs Verification</x:v>
      </x:c>
      <x:c r="L28" s="15" t="str">
        <x:v>Medium</x:v>
      </x:c>
      <x:c r="M28" s="18" t="str"/>
      <x:c r="N28" s="18" t="str"/>
      <x:c r="O28" s="18" t="str"/>
      <x:c r="P28" s="15" t="str"/>
      <x:c r="Q28" s="15" t="str"/>
      <x:c r="R28" s="15" t="str">
        <x:v>Validate current process, owner, evidence, and effective date before publishing.</x:v>
      </x:c>
      <x:c r="S28" s="15" t="str">
        <x:v>Team involvement listed as N/A in outline.</x:v>
      </x:c>
    </x:row>
    <x:row r="29" ht="32" customHeight="1">
      <x:c r="A29" s="15" t="str">
        <x:v>GRPS-P028</x:v>
      </x:c>
      <x:c r="B29" s="15" t="str">
        <x:v>Professional Learning for Diverse Learning Needs</x:v>
      </x:c>
      <x:c r="C29" s="15" t="str">
        <x:v>Title II, Part A</x:v>
      </x:c>
      <x:c r="D29" s="15" t="str">
        <x:v>Section 2 (Title II, Part A)</x:v>
      </x:c>
      <x:c r="E29" s="15" t="str">
        <x:v>Indicator 6</x:v>
      </x:c>
      <x:c r="F29" s="15" t="str">
        <x:v>The improvement plan incorporates PL strategies for meeting the educational needs of students with different learning styles.</x:v>
      </x:c>
      <x:c r="G29" s="15" t="str">
        <x:v>District Improvement Process 4-15-15.pdf</x:v>
      </x:c>
      <x:c r="H29" s="15" t="str">
        <x:v>N/A</x:v>
      </x:c>
      <x:c r="I29" s="15" t="str"/>
      <x:c r="J29" s="15" t="str">
        <x:v>Needs Review</x:v>
      </x:c>
      <x:c r="K29" s="15" t="str">
        <x:v>Partial / Needs Verification</x:v>
      </x:c>
      <x:c r="L29" s="15" t="str">
        <x:v>Medium</x:v>
      </x:c>
      <x:c r="M29" s="18" t="str"/>
      <x:c r="N29" s="18" t="str"/>
      <x:c r="O29" s="18" t="str"/>
      <x:c r="P29" s="15" t="str"/>
      <x:c r="Q29" s="15" t="str"/>
      <x:c r="R29" s="15" t="str">
        <x:v>Validate current process, owner, evidence, and effective date before publishing.</x:v>
      </x:c>
      <x:c r="S29" s="15" t="str">
        <x:v>Team involvement listed as N/A in outline.</x:v>
      </x:c>
    </x:row>
    <x:row r="30" ht="32" customHeight="1">
      <x:c r="A30" s="15" t="str">
        <x:v>GRPS-P029</x:v>
      </x:c>
      <x:c r="B30" s="15" t="str">
        <x:v>High Standards for Core-Academic Professional Learning</x:v>
      </x:c>
      <x:c r="C30" s="15" t="str">
        <x:v>Title II, Part A</x:v>
      </x:c>
      <x:c r="D30" s="15" t="str">
        <x:v>Section 2 (Title II, Part A)</x:v>
      </x:c>
      <x:c r="E30" s="15" t="str">
        <x:v>Indicator 7</x:v>
      </x:c>
      <x:c r="F30" s="15" t="str">
        <x:v>The improvement plan supports high standards for PL in the core academic curriculum areas.</x:v>
      </x:c>
      <x:c r="G30" s="15" t="str">
        <x:v>District Improvement Process 4-15-15.pdf</x:v>
      </x:c>
      <x:c r="H30" s="15" t="str">
        <x:v>N/A</x:v>
      </x:c>
      <x:c r="I30" s="15" t="str"/>
      <x:c r="J30" s="15" t="str">
        <x:v>Needs Review</x:v>
      </x:c>
      <x:c r="K30" s="15" t="str">
        <x:v>Partial / Needs Verification</x:v>
      </x:c>
      <x:c r="L30" s="15" t="str">
        <x:v>Medium</x:v>
      </x:c>
      <x:c r="M30" s="18" t="str"/>
      <x:c r="N30" s="18" t="str"/>
      <x:c r="O30" s="18" t="str"/>
      <x:c r="P30" s="15" t="str"/>
      <x:c r="Q30" s="15" t="str"/>
      <x:c r="R30" s="15" t="str">
        <x:v>Validate current process, owner, evidence, and effective date before publishing.</x:v>
      </x:c>
      <x:c r="S30" s="15" t="str">
        <x:v>Team involvement listed as N/A in outline.</x:v>
      </x:c>
    </x:row>
    <x:row r="31" ht="32" customHeight="1">
      <x:c r="A31" s="15" t="str">
        <x:v>GRPS-P030</x:v>
      </x:c>
      <x:c r="B31" s="15" t="str">
        <x:v>English Learner Identification &amp; Services</x:v>
      </x:c>
      <x:c r="C31" s="15" t="str">
        <x:v>English Learners - All Districts</x:v>
      </x:c>
      <x:c r="D31" s="15" t="str">
        <x:v>Section 2 (ELs–All Districts)</x:v>
      </x:c>
      <x:c r="E31" s="15" t="str">
        <x:v>Indicator 1</x:v>
      </x:c>
      <x:c r="F31" s="15" t="str">
        <x:v>The LEA has implemented written procedures for identifying and servicing eligible ELs. Reminder: in accordance with 1982 Plyler v. Doe registration forms may not ask for citizenship information or any information related to students’ and parents’ immigration status (including Social Security Numbers).</x:v>
      </x:c>
      <x:c r="G31" s="15" t="str">
        <x:v>Title III Procedures 1-6-15.pdf</x:v>
      </x:c>
      <x:c r="H31" s="15" t="str">
        <x:v>N/A</x:v>
      </x:c>
      <x:c r="I31" s="15" t="str"/>
      <x:c r="J31" s="15" t="str">
        <x:v>Needs Review</x:v>
      </x:c>
      <x:c r="K31" s="15" t="str">
        <x:v>Partial / Needs Verification</x:v>
      </x:c>
      <x:c r="L31" s="15" t="str">
        <x:v>Medium</x:v>
      </x:c>
      <x:c r="M31" s="18" t="str"/>
      <x:c r="N31" s="18" t="str"/>
      <x:c r="O31" s="18" t="str"/>
      <x:c r="P31" s="15" t="str"/>
      <x:c r="Q31" s="15" t="str"/>
      <x:c r="R31" s="15" t="str">
        <x:v>Validate current process, owner, evidence, and effective date before publishing.</x:v>
      </x:c>
      <x:c r="S31" s="15" t="str">
        <x:v>Team involvement listed as N/A in outline.</x:v>
      </x:c>
    </x:row>
    <x:row r="32" ht="32" customHeight="1">
      <x:c r="A32" s="15" t="str">
        <x:v>GRPS-P031</x:v>
      </x:c>
      <x:c r="B32" s="15" t="str">
        <x:v>Immigrant Student Identification &amp; MSDS Reporting</x:v>
      </x:c>
      <x:c r="C32" s="15" t="str">
        <x:v>English Learners - All Districts</x:v>
      </x:c>
      <x:c r="D32" s="15" t="str">
        <x:v>Section 2 (ELs–All Districts)</x:v>
      </x:c>
      <x:c r="E32" s="15" t="str">
        <x:v>Indicator 2</x:v>
      </x:c>
      <x:c r="F32" s="15" t="str">
        <x:v>The LEA has implemented written procedures for identifying and reporting Immigrant Students in the Michigan Student Data System (MSDS), including Foreign Exchange Students.</x:v>
      </x:c>
      <x:c r="G32" s="15" t="str">
        <x:v>Title III Procedures 1-6-15.pdf</x:v>
      </x:c>
      <x:c r="H32" s="15" t="str">
        <x:v>N/A</x:v>
      </x:c>
      <x:c r="I32" s="15" t="str"/>
      <x:c r="J32" s="15" t="str">
        <x:v>Needs Review</x:v>
      </x:c>
      <x:c r="K32" s="15" t="str">
        <x:v>Partial / Needs Verification</x:v>
      </x:c>
      <x:c r="L32" s="15" t="str">
        <x:v>Medium</x:v>
      </x:c>
      <x:c r="M32" s="18" t="str"/>
      <x:c r="N32" s="18" t="str"/>
      <x:c r="O32" s="18" t="str"/>
      <x:c r="P32" s="15" t="str"/>
      <x:c r="Q32" s="15" t="str"/>
      <x:c r="R32" s="15" t="str">
        <x:v>Validate current process, owner, evidence, and effective date before publishing.</x:v>
      </x:c>
      <x:c r="S32" s="15" t="str">
        <x:v>Team involvement listed as N/A in outline.</x:v>
      </x:c>
    </x:row>
    <x:row r="33" ht="32" customHeight="1">
      <x:c r="A33" s="15" t="str">
        <x:v>GRPS-P032</x:v>
      </x:c>
      <x:c r="B33" s="15" t="str">
        <x:v>Language Assistance Program &amp; Funding Sequence</x:v>
      </x:c>
      <x:c r="C33" s="15" t="str">
        <x:v>English Learners - All Districts</x:v>
      </x:c>
      <x:c r="D33" s="15" t="str">
        <x:v>Section 2 (ELs–All Districts)</x:v>
      </x:c>
      <x:c r="E33" s="15" t="str">
        <x:v>Indicator 3</x:v>
      </x:c>
      <x:c r="F33" s="15" t="str">
        <x:v>The LEA has submitted a written description of the Language Assistance Program (LAP) and uses general funds to support such programs before using other State and Federal funds.</x:v>
      </x:c>
      <x:c r="G33" s="15" t="str">
        <x:v>Title III Procedures 1-6-15.pdf</x:v>
      </x:c>
      <x:c r="H33" s="15" t="str">
        <x:v>N/A</x:v>
      </x:c>
      <x:c r="I33" s="15" t="str"/>
      <x:c r="J33" s="15" t="str">
        <x:v>Needs Review</x:v>
      </x:c>
      <x:c r="K33" s="15" t="str">
        <x:v>Partial / Needs Verification</x:v>
      </x:c>
      <x:c r="L33" s="15" t="str">
        <x:v>Medium</x:v>
      </x:c>
      <x:c r="M33" s="18" t="str"/>
      <x:c r="N33" s="18" t="str"/>
      <x:c r="O33" s="18" t="str"/>
      <x:c r="P33" s="15" t="str"/>
      <x:c r="Q33" s="15" t="str"/>
      <x:c r="R33" s="15" t="str">
        <x:v>Validate current process, owner, evidence, and effective date before publishing.</x:v>
      </x:c>
      <x:c r="S33" s="15" t="str">
        <x:v>Team involvement listed as N/A in outline.</x:v>
      </x:c>
    </x:row>
    <x:row r="34" ht="32" customHeight="1">
      <x:c r="A34" s="15" t="str">
        <x:v>GRPS-P033</x:v>
      </x:c>
      <x:c r="B34" s="15" t="str">
        <x:v>Title III Needs-Based Comprehensive Supports</x:v>
      </x:c>
      <x:c r="C34" s="15" t="str">
        <x:v>Title III, Part A</x:v>
      </x:c>
      <x:c r="D34" s="15" t="str">
        <x:v>Section 2 (Title III, Part A)</x:v>
      </x:c>
      <x:c r="E34" s="15" t="str">
        <x:v>Indicator 1</x:v>
      </x:c>
      <x:c r="F34" s="15" t="str">
        <x:v>The EL comprehensive program of supports (includes Title III) is based on a needs assessment and includes SMART objectives, strategies, and activities.</x:v>
      </x:c>
      <x:c r="G34" s="15" t="str">
        <x:v>Title III Procedures 1-6-15.pdf</x:v>
      </x:c>
      <x:c r="H34" s="15" t="str">
        <x:v>N/A</x:v>
      </x:c>
      <x:c r="I34" s="15" t="str"/>
      <x:c r="J34" s="15" t="str">
        <x:v>Needs Review</x:v>
      </x:c>
      <x:c r="K34" s="15" t="str">
        <x:v>Partial / Needs Verification</x:v>
      </x:c>
      <x:c r="L34" s="15" t="str">
        <x:v>Medium</x:v>
      </x:c>
      <x:c r="M34" s="18" t="str"/>
      <x:c r="N34" s="18" t="str"/>
      <x:c r="O34" s="18" t="str"/>
      <x:c r="P34" s="15" t="str"/>
      <x:c r="Q34" s="15" t="str"/>
      <x:c r="R34" s="15" t="str">
        <x:v>Validate current process, owner, evidence, and effective date before publishing.</x:v>
      </x:c>
      <x:c r="S34" s="15" t="str">
        <x:v>Team involvement listed as N/A in outline.</x:v>
      </x:c>
    </x:row>
    <x:row r="35" ht="32" customHeight="1">
      <x:c r="A35" s="15" t="str">
        <x:v>GRPS-P034</x:v>
      </x:c>
      <x:c r="B35" s="15" t="str">
        <x:v>Title III Supplement, Not Supplant</x:v>
      </x:c>
      <x:c r="C35" s="15" t="str">
        <x:v>Title III, Part A</x:v>
      </x:c>
      <x:c r="D35" s="15" t="str">
        <x:v>Section 2 (Title III, Part A)</x:v>
      </x:c>
      <x:c r="E35" s="15" t="str">
        <x:v>Indicator 2</x:v>
      </x:c>
      <x:c r="F35" s="15" t="str">
        <x:v>The LEA complies with the supplement, not supplant provisions in Title III, Part A.</x:v>
      </x:c>
      <x:c r="G35" s="15" t="str">
        <x:v>Title III Procedures 1-6-15.pdf</x:v>
      </x:c>
      <x:c r="H35" s="15" t="str">
        <x:v>N/A</x:v>
      </x:c>
      <x:c r="I35" s="15" t="str"/>
      <x:c r="J35" s="15" t="str">
        <x:v>Needs Review</x:v>
      </x:c>
      <x:c r="K35" s="15" t="str">
        <x:v>Partial / Needs Verification</x:v>
      </x:c>
      <x:c r="L35" s="15" t="str">
        <x:v>Medium</x:v>
      </x:c>
      <x:c r="M35" s="18" t="str"/>
      <x:c r="N35" s="18" t="str"/>
      <x:c r="O35" s="18" t="str"/>
      <x:c r="P35" s="15" t="str"/>
      <x:c r="Q35" s="15" t="str"/>
      <x:c r="R35" s="15" t="str">
        <x:v>Validate current process, owner, evidence, and effective date before publishing.</x:v>
      </x:c>
      <x:c r="S35" s="15" t="str">
        <x:v>Team involvement listed as N/A in outline.</x:v>
      </x:c>
    </x:row>
    <x:row r="36" ht="32" customHeight="1">
      <x:c r="A36" s="15" t="str">
        <x:v>GRPS-P035</x:v>
      </x:c>
      <x:c r="B36" s="15" t="str">
        <x:v>Title III Qualified Staffing</x:v>
      </x:c>
      <x:c r="C36" s="15" t="str">
        <x:v>Title III, Part A</x:v>
      </x:c>
      <x:c r="D36" s="15" t="str">
        <x:v>Section 2 (Title III, Part A)</x:v>
      </x:c>
      <x:c r="E36" s="15" t="str">
        <x:v>Indicator 3</x:v>
      </x:c>
      <x:c r="F36" s="15" t="str">
        <x:v>The EL comprehensive program of supports (including Title III) is provided by certified English as a Second Language or Bilingual education-endorsed staff (or highly qualified paraprofessionals directly supervised by certified and endorsed staff).</x:v>
      </x:c>
      <x:c r="G36" s="15" t="str">
        <x:v>Title III Procedures 1-6-15.pdf</x:v>
      </x:c>
      <x:c r="H36" s="15" t="str">
        <x:v>N/A</x:v>
      </x:c>
      <x:c r="I36" s="15" t="str"/>
      <x:c r="J36" s="15" t="str">
        <x:v>Needs Review</x:v>
      </x:c>
      <x:c r="K36" s="15" t="str">
        <x:v>Partial / Needs Verification</x:v>
      </x:c>
      <x:c r="L36" s="15" t="str">
        <x:v>Medium</x:v>
      </x:c>
      <x:c r="M36" s="18" t="str"/>
      <x:c r="N36" s="18" t="str"/>
      <x:c r="O36" s="18" t="str"/>
      <x:c r="P36" s="15" t="str"/>
      <x:c r="Q36" s="15" t="str"/>
      <x:c r="R36" s="15" t="str">
        <x:v>Validate current process, owner, evidence, and effective date before publishing.</x:v>
      </x:c>
      <x:c r="S36" s="15" t="str">
        <x:v>Team involvement listed as N/A in outline.</x:v>
      </x:c>
    </x:row>
    <x:row r="37" ht="32" customHeight="1">
      <x:c r="A37" s="15" t="str">
        <x:v>GRPS-P036</x:v>
      </x:c>
      <x:c r="B37" s="15" t="str">
        <x:v>Title III Professional Learning for EL Staff</x:v>
      </x:c>
      <x:c r="C37" s="15" t="str">
        <x:v>Title III, Part A</x:v>
      </x:c>
      <x:c r="D37" s="15" t="str">
        <x:v>Section 2 (Title III, Part A)</x:v>
      </x:c>
      <x:c r="E37" s="15" t="str">
        <x:v>Indicator 4</x:v>
      </x:c>
      <x:c r="F37" s="15" t="str">
        <x:v>The LEA provides sustained/ongoing, research-based PL for staff who serve ELs.</x:v>
      </x:c>
      <x:c r="G37" s="15" t="str">
        <x:v>Title III Procedures 1-6-15.pdf</x:v>
      </x:c>
      <x:c r="H37" s="15" t="str">
        <x:v>N/A</x:v>
      </x:c>
      <x:c r="I37" s="15" t="str"/>
      <x:c r="J37" s="15" t="str">
        <x:v>Needs Review</x:v>
      </x:c>
      <x:c r="K37" s="15" t="str">
        <x:v>Partial / Needs Verification</x:v>
      </x:c>
      <x:c r="L37" s="15" t="str">
        <x:v>Medium</x:v>
      </x:c>
      <x:c r="M37" s="18" t="str"/>
      <x:c r="N37" s="18" t="str"/>
      <x:c r="O37" s="18" t="str"/>
      <x:c r="P37" s="15" t="str"/>
      <x:c r="Q37" s="15" t="str"/>
      <x:c r="R37" s="15" t="str">
        <x:v>Validate current process, owner, evidence, and effective date before publishing.</x:v>
      </x:c>
      <x:c r="S37" s="15" t="str">
        <x:v>Team involvement listed as N/A in outline.</x:v>
      </x:c>
    </x:row>
    <x:row r="38" ht="32" customHeight="1">
      <x:c r="A38" s="15" t="str">
        <x:v>GRPS-P037</x:v>
      </x:c>
      <x:c r="B38" s="15" t="str">
        <x:v>Title III Annual Program Evaluation</x:v>
      </x:c>
      <x:c r="C38" s="15" t="str">
        <x:v>Title III, Part A</x:v>
      </x:c>
      <x:c r="D38" s="15" t="str">
        <x:v>Section 2 (Title III, Part A)</x:v>
      </x:c>
      <x:c r="E38" s="15" t="str">
        <x:v>Indicator 5</x:v>
      </x:c>
      <x:c r="F38" s="15" t="str">
        <x:v>The Title III, Part A program is evaluated annually for effectiveness and impact on student achievement.</x:v>
      </x:c>
      <x:c r="G38" s="15" t="str">
        <x:v>Title III Procedures 1-6-15.pdf</x:v>
      </x:c>
      <x:c r="H38" s="15" t="str">
        <x:v>N/A</x:v>
      </x:c>
      <x:c r="I38" s="15" t="str"/>
      <x:c r="J38" s="15" t="str">
        <x:v>Needs Review</x:v>
      </x:c>
      <x:c r="K38" s="15" t="str">
        <x:v>Partial / Needs Verification</x:v>
      </x:c>
      <x:c r="L38" s="15" t="str">
        <x:v>Medium</x:v>
      </x:c>
      <x:c r="M38" s="18" t="str"/>
      <x:c r="N38" s="18" t="str"/>
      <x:c r="O38" s="18" t="str"/>
      <x:c r="P38" s="15" t="str"/>
      <x:c r="Q38" s="15" t="str"/>
      <x:c r="R38" s="15" t="str">
        <x:v>Validate current process, owner, evidence, and effective date before publishing.</x:v>
      </x:c>
      <x:c r="S38" s="15" t="str">
        <x:v>Team involvement listed as N/A in outline.</x:v>
      </x:c>
    </x:row>
    <x:row r="39" ht="32" customHeight="1">
      <x:c r="A39" s="15" t="str">
        <x:v>GRPS-P038</x:v>
      </x:c>
      <x:c r="B39" s="15" t="str">
        <x:v>Title III Parent Outreach &amp; Stakeholder Involvement</x:v>
      </x:c>
      <x:c r="C39" s="15" t="str">
        <x:v>Title III, Part A</x:v>
      </x:c>
      <x:c r="D39" s="15" t="str">
        <x:v>Section 2 (Title III, Part A)</x:v>
      </x:c>
      <x:c r="E39" s="15" t="str">
        <x:v>Indicator 6</x:v>
      </x:c>
      <x:c r="F39" s="15" t="str">
        <x:v>The LEA has an effective means of parent outreach to EL parents and has evidence that EL parents are involved stakeholders.</x:v>
      </x:c>
      <x:c r="G39" s="15" t="str">
        <x:v>Title III Procedures 1-6-15.pdf</x:v>
      </x:c>
      <x:c r="H39" s="15" t="str">
        <x:v>N/A</x:v>
      </x:c>
      <x:c r="I39" s="15" t="str"/>
      <x:c r="J39" s="15" t="str">
        <x:v>Needs Review</x:v>
      </x:c>
      <x:c r="K39" s="15" t="str">
        <x:v>Partial / Needs Verification</x:v>
      </x:c>
      <x:c r="L39" s="15" t="str">
        <x:v>Medium</x:v>
      </x:c>
      <x:c r="M39" s="18" t="str"/>
      <x:c r="N39" s="18" t="str"/>
      <x:c r="O39" s="18" t="str"/>
      <x:c r="P39" s="15" t="str"/>
      <x:c r="Q39" s="15" t="str"/>
      <x:c r="R39" s="15" t="str">
        <x:v>Validate current process, owner, evidence, and effective date before publishing.</x:v>
      </x:c>
      <x:c r="S39" s="15" t="str">
        <x:v>Team involvement listed as N/A in outline.</x:v>
      </x:c>
    </x:row>
    <x:row r="40" ht="32" customHeight="1">
      <x:c r="A40" s="15" t="str">
        <x:v>GRPS-P039</x:v>
      </x:c>
      <x:c r="B40" s="15" t="str">
        <x:v>Title IV Stakeholder Consultation</x:v>
      </x:c>
      <x:c r="C40" s="15" t="str">
        <x:v>Title IV, Part A</x:v>
      </x:c>
      <x:c r="D40" s="15" t="str">
        <x:v>Section 2 (Title IV, Part A)</x:v>
      </x:c>
      <x:c r="E40" s="15" t="str">
        <x:v>Indicator 1</x:v>
      </x:c>
      <x:c r="F40" s="15" t="str">
        <x:v>The application was created in consultation with stakeholders, including parents/family, and consultation continues throughout the year to improve the local programs/services.</x:v>
      </x:c>
      <x:c r="G40" s="15" t="str">
        <x:v>Applying for External Funding Procedures 1-15.pdf</x:v>
      </x:c>
      <x:c r="H40" s="15" t="str">
        <x:v>Title IV</x:v>
      </x:c>
      <x:c r="I40" s="15" t="str"/>
      <x:c r="J40" s="15" t="str">
        <x:v>Needs Review</x:v>
      </x:c>
      <x:c r="K40" s="15" t="str">
        <x:v>Partial / Needs Verification</x:v>
      </x:c>
      <x:c r="L40" s="15" t="str">
        <x:v>Medium</x:v>
      </x:c>
      <x:c r="M40" s="18" t="str"/>
      <x:c r="N40" s="18" t="str"/>
      <x:c r="O40" s="18" t="str"/>
      <x:c r="P40" s="15" t="str"/>
      <x:c r="Q40" s="15" t="str"/>
      <x:c r="R40" s="15" t="str">
        <x:v>Validate current process, owner, evidence, and effective date before publishing.</x:v>
      </x:c>
      <x:c r="S40" s="15" t="str"/>
    </x:row>
    <x:row r="41" ht="32" customHeight="1">
      <x:c r="A41" s="15" t="str">
        <x:v>GRPS-P040</x:v>
      </x:c>
      <x:c r="B41" s="15" t="str">
        <x:v>Title IV Greatest-Need Resource Prioritization</x:v>
      </x:c>
      <x:c r="C41" s="15" t="str">
        <x:v>Title IV, Part A</x:v>
      </x:c>
      <x:c r="D41" s="15" t="str">
        <x:v>Section 2 (Title IV, Part A)</x:v>
      </x:c>
      <x:c r="E41" s="15" t="str">
        <x:v>Indicator 2</x:v>
      </x:c>
      <x:c r="F41" s="15" t="str">
        <x:v>The LEA/consortium assures resources are prioritized for schools with the greatest needs as determined by the LEA/consortium improvement plan.</x:v>
      </x:c>
      <x:c r="G41" s="15" t="str">
        <x:v>District Improvement Process 4-15-15.pdf</x:v>
      </x:c>
      <x:c r="H41" s="15" t="str">
        <x:v>Title IV</x:v>
      </x:c>
      <x:c r="I41" s="15" t="str"/>
      <x:c r="J41" s="15" t="str">
        <x:v>Needs Review</x:v>
      </x:c>
      <x:c r="K41" s="15" t="str">
        <x:v>Partial / Needs Verification</x:v>
      </x:c>
      <x:c r="L41" s="15" t="str">
        <x:v>Medium</x:v>
      </x:c>
      <x:c r="M41" s="18" t="str"/>
      <x:c r="N41" s="18" t="str"/>
      <x:c r="O41" s="18" t="str"/>
      <x:c r="P41" s="15" t="str"/>
      <x:c r="Q41" s="15" t="str"/>
      <x:c r="R41" s="15" t="str">
        <x:v>Validate current process, owner, evidence, and effective date before publishing.</x:v>
      </x:c>
      <x:c r="S41" s="15" t="str"/>
    </x:row>
    <x:row r="42" ht="32" customHeight="1">
      <x:c r="A42" s="15" t="str">
        <x:v>GRPS-P041</x:v>
      </x:c>
      <x:c r="B42" s="15" t="str">
        <x:v>Title IV Program Evaluation</x:v>
      </x:c>
      <x:c r="C42" s="15" t="str">
        <x:v>Title IV, Part A</x:v>
      </x:c>
      <x:c r="D42" s="15" t="str">
        <x:v>Section 2 (Title IV, Part A)</x:v>
      </x:c>
      <x:c r="E42" s="15" t="str">
        <x:v>Indicator 3</x:v>
      </x:c>
      <x:c r="F42" s="15" t="str">
        <x:v>The LEA evaluates Title IV, Part A programs/services for effectiveness and impact on student achievement.</x:v>
      </x:c>
      <x:c r="G42" s="15" t="str"/>
      <x:c r="H42" s="15" t="str">
        <x:v>Title IV</x:v>
      </x:c>
      <x:c r="I42" s="15" t="str"/>
      <x:c r="J42" s="15" t="str">
        <x:v>Evidence Gap</x:v>
      </x:c>
      <x:c r="K42" s="15" t="str">
        <x:v>Missing</x:v>
      </x:c>
      <x:c r="L42" s="15" t="str">
        <x:v>High</x:v>
      </x:c>
      <x:c r="M42" s="18" t="str"/>
      <x:c r="N42" s="18" t="str"/>
      <x:c r="O42" s="18" t="str"/>
      <x:c r="P42" s="15" t="str"/>
      <x:c r="Q42" s="15" t="str"/>
      <x:c r="R42" s="15" t="str">
        <x:v>Identify or develop the written process and supporting evidence; assign owner.</x:v>
      </x:c>
      <x:c r="S42" s="15" t="str">
        <x:v>No evidence filename was listed in the outline.</x:v>
      </x:c>
    </x:row>
    <x:row r="43" ht="32" customHeight="1">
      <x:c r="A43" s="15" t="str">
        <x:v>GRPS-P042</x:v>
      </x:c>
      <x:c r="B43" s="15" t="str">
        <x:v>Title IV Supplement, Not Supplant</x:v>
      </x:c>
      <x:c r="C43" s="15" t="str">
        <x:v>Title IV, Part A</x:v>
      </x:c>
      <x:c r="D43" s="15" t="str">
        <x:v>Section 2 (Title IV, Part A)</x:v>
      </x:c>
      <x:c r="E43" s="15" t="str">
        <x:v>Indicator 4</x:v>
      </x:c>
      <x:c r="F43" s="15" t="str">
        <x:v>Programs/services comply with the supplement, not supplant requirement of the law.</x:v>
      </x:c>
      <x:c r="G43" s="15" t="str"/>
      <x:c r="H43" s="15" t="str">
        <x:v>Title IV</x:v>
      </x:c>
      <x:c r="I43" s="15" t="str"/>
      <x:c r="J43" s="15" t="str">
        <x:v>Evidence Gap</x:v>
      </x:c>
      <x:c r="K43" s="15" t="str">
        <x:v>Missing</x:v>
      </x:c>
      <x:c r="L43" s="15" t="str">
        <x:v>High</x:v>
      </x:c>
      <x:c r="M43" s="18" t="str"/>
      <x:c r="N43" s="18" t="str"/>
      <x:c r="O43" s="18" t="str"/>
      <x:c r="P43" s="15" t="str"/>
      <x:c r="Q43" s="15" t="str"/>
      <x:c r="R43" s="15" t="str">
        <x:v>Identify or develop the written process and supporting evidence; assign owner.</x:v>
      </x:c>
      <x:c r="S43" s="15" t="str">
        <x:v>No evidence filename was listed in the outline.</x:v>
      </x:c>
    </x:row>
    <x:row r="44" ht="32" customHeight="1">
      <x:c r="A44" s="15" t="str">
        <x:v>GRPS-P043</x:v>
      </x:c>
      <x:c r="B44" s="15" t="str">
        <x:v>Homeless Student Services in Improvement Planning</x:v>
      </x:c>
      <x:c r="C44" s="15" t="str">
        <x:v>Homeless / McKinney-Vento</x:v>
      </x:c>
      <x:c r="D44" s="15" t="str">
        <x:v>Section 2 (Title IX–Homeless)</x:v>
      </x:c>
      <x:c r="E44" s="15" t="str">
        <x:v>Indicator 1</x:v>
      </x:c>
      <x:c r="F44" s="15" t="str">
        <x:v>The improvement plan describes the services the LEA will provide to support the enrollment, attendance, and success of homeless children and youth; including services provided with the Title I, Part A Homeless reservation, in coordination with the services the LEA provides under the McKinney-Vento Act.</x:v>
      </x:c>
      <x:c r="G44" s="15" t="str">
        <x:v>David's Sample; District Improvement Process 4-15-15.pdf</x:v>
      </x:c>
      <x:c r="H44" s="15" t="str">
        <x:v>Homeless</x:v>
      </x:c>
      <x:c r="I44" s="15" t="str"/>
      <x:c r="J44" s="15" t="str">
        <x:v>Needs Review</x:v>
      </x:c>
      <x:c r="K44" s="15" t="str">
        <x:v>Partial / Needs Verification</x:v>
      </x:c>
      <x:c r="L44" s="15" t="str">
        <x:v>Medium</x:v>
      </x:c>
      <x:c r="M44" s="18" t="str"/>
      <x:c r="N44" s="18" t="str"/>
      <x:c r="O44" s="18" t="str"/>
      <x:c r="P44" s="15" t="str"/>
      <x:c r="Q44" s="15" t="str"/>
      <x:c r="R44" s="15" t="str">
        <x:v>Validate current process, owner, evidence, and effective date before publishing.</x:v>
      </x:c>
      <x:c r="S44" s="15" t="str"/>
    </x:row>
    <x:row r="45" ht="32" customHeight="1">
      <x:c r="A45" s="15" t="str">
        <x:v>GRPS-P044</x:v>
      </x:c>
      <x:c r="B45" s="15" t="str">
        <x:v>Homeless Student Categorical Title I Eligibility</x:v>
      </x:c>
      <x:c r="C45" s="15" t="str">
        <x:v>Homeless / McKinney-Vento</x:v>
      </x:c>
      <x:c r="D45" s="15" t="str">
        <x:v>Section 2 (Title IX–Homeless)</x:v>
      </x:c>
      <x:c r="E45" s="15" t="str">
        <x:v>Indicator 2</x:v>
      </x:c>
      <x:c r="F45" s="15" t="str">
        <x:v>The LEA considers every homeless student immediately eligible for Title I, Part A services based on their status as homeless, and not dependent on low academic achievement; homeless students are categorically eligible for Title I, Part A services.</x:v>
      </x:c>
      <x:c r="G45" s="15" t="str">
        <x:v>David's Sample; Title I Student Selection Procedure - Elementary 4-30-15.pdf; Title I Student Selection Procedure - Secondary 4-30-15.pdf</x:v>
      </x:c>
      <x:c r="H45" s="15" t="str">
        <x:v>Homeless</x:v>
      </x:c>
      <x:c r="I45" s="15" t="str"/>
      <x:c r="J45" s="15" t="str">
        <x:v>Needs Review</x:v>
      </x:c>
      <x:c r="K45" s="15" t="str">
        <x:v>Partial / Needs Verification</x:v>
      </x:c>
      <x:c r="L45" s="15" t="str">
        <x:v>Medium</x:v>
      </x:c>
      <x:c r="M45" s="18" t="str"/>
      <x:c r="N45" s="18" t="str"/>
      <x:c r="O45" s="18" t="str"/>
      <x:c r="P45" s="15" t="str"/>
      <x:c r="Q45" s="15" t="str"/>
      <x:c r="R45" s="15" t="str">
        <x:v>Validate current process, owner, evidence, and effective date before publishing.</x:v>
      </x:c>
      <x:c r="S45" s="15" t="str"/>
    </x:row>
    <x:row r="46" ht="32" customHeight="1">
      <x:c r="A46" s="15" t="str">
        <x:v>GRPS-P045</x:v>
      </x:c>
      <x:c r="B46" s="15" t="str">
        <x:v>McKinney-Vento Liaison &amp; Title I Coordination</x:v>
      </x:c>
      <x:c r="C46" s="15" t="str">
        <x:v>Homeless / McKinney-Vento</x:v>
      </x:c>
      <x:c r="D46" s="15" t="str">
        <x:v>Section 2 (Title IX–Homeless)</x:v>
      </x:c>
      <x:c r="E46" s="15" t="str">
        <x:v>Indicator 3</x:v>
      </x:c>
      <x:c r="F46" s="15" t="str">
        <x:v>The LEA’s MV Liaison and the Title I Coordinator implement a written process that includes regular meetings to assess the needs of homeless students and review the use of the Title I, Part A Homeless reservation to meet those needs.</x:v>
      </x:c>
      <x:c r="G46" s="15" t="str">
        <x:v>David's Sample; Sample 1 District Level Title I Part A Program Oversight Process.pdf</x:v>
      </x:c>
      <x:c r="H46" s="15" t="str">
        <x:v>Homeless</x:v>
      </x:c>
      <x:c r="I46" s="15" t="str"/>
      <x:c r="J46" s="15" t="str">
        <x:v>Needs Review</x:v>
      </x:c>
      <x:c r="K46" s="15" t="str">
        <x:v>Partial / Needs Verification</x:v>
      </x:c>
      <x:c r="L46" s="15" t="str">
        <x:v>Medium</x:v>
      </x:c>
      <x:c r="M46" s="18" t="str"/>
      <x:c r="N46" s="18" t="str"/>
      <x:c r="O46" s="18" t="str"/>
      <x:c r="P46" s="15" t="str"/>
      <x:c r="Q46" s="15" t="str"/>
      <x:c r="R46" s="15" t="str">
        <x:v>Validate current process, owner, evidence, and effective date before publishing.</x:v>
      </x:c>
      <x:c r="S46" s="15" t="str"/>
    </x:row>
    <x:row r="47" ht="32" customHeight="1">
      <x:c r="A47" s="15" t="str">
        <x:v>GRPS-P046</x:v>
      </x:c>
      <x:c r="B47" s="15" t="str">
        <x:v>Federal Equipment Physical Inventory</x:v>
      </x:c>
      <x:c r="C47" s="15" t="str">
        <x:v>Districtwide Federal Compliance</x:v>
      </x:c>
      <x:c r="D47" s="15" t="str">
        <x:v>Section 3</x:v>
      </x:c>
      <x:c r="E47" s="15" t="str">
        <x:v>Indicator 1</x:v>
      </x:c>
      <x:c r="F47" s="15" t="str">
        <x:v>The LEA maintains a physical inventory of the property purchased with Federal funds in accordance with 2 CFR 100.313.</x:v>
      </x:c>
      <x:c r="G47" s="15" t="str">
        <x:v>Title I Technology - Equipment Process and Procedures revised 1-13-14.pdf</x:v>
      </x:c>
      <x:c r="H47" s="15" t="str">
        <x:v>All</x:v>
      </x:c>
      <x:c r="I47" s="15" t="str"/>
      <x:c r="J47" s="15" t="str">
        <x:v>Needs Review</x:v>
      </x:c>
      <x:c r="K47" s="15" t="str">
        <x:v>Partial / Needs Verification</x:v>
      </x:c>
      <x:c r="L47" s="15" t="str">
        <x:v>High</x:v>
      </x:c>
      <x:c r="M47" s="18" t="str"/>
      <x:c r="N47" s="18" t="str"/>
      <x:c r="O47" s="18" t="str"/>
      <x:c r="P47" s="15" t="str"/>
      <x:c r="Q47" s="15" t="str"/>
      <x:c r="R47" s="15" t="str">
        <x:v>Validate current process, owner, evidence, and effective date before publishing.</x:v>
      </x:c>
      <x:c r="S47" s="15" t="str"/>
    </x:row>
    <x:row r="48" ht="32" customHeight="1">
      <x:c r="A48" s="15" t="str">
        <x:v>GRPS-P047</x:v>
      </x:c>
      <x:c r="B48" s="15" t="str">
        <x:v>Grant-Funded Activity Logs / Timekeeping</x:v>
      </x:c>
      <x:c r="C48" s="15" t="str">
        <x:v>Districtwide Federal Compliance</x:v>
      </x:c>
      <x:c r="D48" s="15" t="str">
        <x:v>Section 3</x:v>
      </x:c>
      <x:c r="E48" s="15" t="str">
        <x:v>Indicator 2</x:v>
      </x:c>
      <x:c r="F48" s="15" t="str">
        <x:v>The LEA maintains activity logs to support timekeeping as applicable with legislation.</x:v>
      </x:c>
      <x:c r="G48" s="15" t="str">
        <x:v>Tracking of Time and Effort Process.docx; Time and Effort Procedures 5_30_13.pdf</x:v>
      </x:c>
      <x:c r="H48" s="15" t="str">
        <x:v>All</x:v>
      </x:c>
      <x:c r="I48" s="15" t="str"/>
      <x:c r="J48" s="15" t="str">
        <x:v>Needs Review</x:v>
      </x:c>
      <x:c r="K48" s="15" t="str">
        <x:v>Partial / Needs Verification</x:v>
      </x:c>
      <x:c r="L48" s="15" t="str">
        <x:v>High</x:v>
      </x:c>
      <x:c r="M48" s="18" t="str"/>
      <x:c r="N48" s="18" t="str"/>
      <x:c r="O48" s="18" t="str"/>
      <x:c r="P48" s="15" t="str"/>
      <x:c r="Q48" s="15" t="str"/>
      <x:c r="R48" s="15" t="str">
        <x:v>Validate current process, owner, evidence, and effective date before publishing.</x:v>
      </x:c>
      <x:c r="S48" s="15" t="str"/>
    </x:row>
    <x:row r="49">
      <x:c r="M49" s="19"/>
      <x:c r="N49" s="19"/>
      <x:c r="O49" s="19"/>
    </x:row>
    <x:row r="50">
      <x:c r="M50" s="19"/>
      <x:c r="N50" s="19"/>
      <x:c r="O50" s="19"/>
    </x:row>
    <x:row r="51">
      <x:c r="M51" s="19"/>
      <x:c r="N51" s="19"/>
      <x:c r="O51" s="19"/>
    </x:row>
    <x:row r="52">
      <x:c r="M52" s="19"/>
      <x:c r="N52" s="19"/>
      <x:c r="O52" s="19"/>
    </x:row>
    <x:row r="53">
      <x:c r="M53" s="19"/>
      <x:c r="N53" s="19"/>
      <x:c r="O53" s="19"/>
    </x:row>
    <x:row r="54">
      <x:c r="M54" s="19"/>
      <x:c r="N54" s="19"/>
      <x:c r="O54" s="19"/>
    </x:row>
    <x:row r="55">
      <x:c r="M55" s="19"/>
      <x:c r="N55" s="19"/>
      <x:c r="O55" s="19"/>
    </x:row>
    <x:row r="56">
      <x:c r="M56" s="19"/>
      <x:c r="N56" s="19"/>
      <x:c r="O56" s="19"/>
    </x:row>
    <x:row r="57">
      <x:c r="M57" s="19"/>
      <x:c r="N57" s="19"/>
      <x:c r="O57" s="19"/>
    </x:row>
    <x:row r="58">
      <x:c r="M58" s="19"/>
      <x:c r="N58" s="19"/>
      <x:c r="O58" s="19"/>
    </x:row>
    <x:row r="59">
      <x:c r="M59" s="19"/>
      <x:c r="N59" s="19"/>
      <x:c r="O59" s="19"/>
    </x:row>
    <x:row r="60">
      <x:c r="M60" s="19"/>
      <x:c r="N60" s="19"/>
      <x:c r="O60" s="19"/>
    </x:row>
    <x:row r="61">
      <x:c r="M61" s="19"/>
      <x:c r="N61" s="19"/>
      <x:c r="O61" s="19"/>
    </x:row>
    <x:row r="62">
      <x:c r="M62" s="19"/>
      <x:c r="N62" s="19"/>
      <x:c r="O62" s="19"/>
    </x:row>
    <x:row r="63">
      <x:c r="M63" s="19"/>
      <x:c r="N63" s="19"/>
      <x:c r="O63" s="19"/>
    </x:row>
    <x:row r="64">
      <x:c r="M64" s="19"/>
      <x:c r="N64" s="19"/>
      <x:c r="O64" s="19"/>
    </x:row>
    <x:row r="65">
      <x:c r="M65" s="19"/>
      <x:c r="N65" s="19"/>
      <x:c r="O65" s="19"/>
    </x:row>
    <x:row r="66">
      <x:c r="M66" s="19"/>
      <x:c r="N66" s="19"/>
      <x:c r="O66" s="19"/>
    </x:row>
    <x:row r="67">
      <x:c r="M67" s="19"/>
      <x:c r="N67" s="19"/>
      <x:c r="O67" s="19"/>
    </x:row>
    <x:row r="68">
      <x:c r="M68" s="19"/>
      <x:c r="N68" s="19"/>
      <x:c r="O68" s="19"/>
    </x:row>
    <x:row r="69">
      <x:c r="M69" s="19"/>
      <x:c r="N69" s="19"/>
      <x:c r="O69" s="19"/>
    </x:row>
    <x:row r="70">
      <x:c r="M70" s="19"/>
      <x:c r="N70" s="19"/>
      <x:c r="O70" s="19"/>
    </x:row>
    <x:row r="71">
      <x:c r="M71" s="19"/>
      <x:c r="N71" s="19"/>
      <x:c r="O71" s="19"/>
    </x:row>
    <x:row r="72">
      <x:c r="M72" s="19"/>
      <x:c r="N72" s="19"/>
      <x:c r="O72" s="19"/>
    </x:row>
    <x:row r="73">
      <x:c r="M73" s="19"/>
      <x:c r="N73" s="19"/>
      <x:c r="O73" s="19"/>
    </x:row>
    <x:row r="74">
      <x:c r="M74" s="19"/>
      <x:c r="N74" s="19"/>
      <x:c r="O74" s="19"/>
    </x:row>
    <x:row r="75">
      <x:c r="M75" s="19"/>
      <x:c r="N75" s="19"/>
      <x:c r="O75" s="19"/>
    </x:row>
    <x:row r="76">
      <x:c r="M76" s="19"/>
      <x:c r="N76" s="19"/>
      <x:c r="O76" s="19"/>
    </x:row>
    <x:row r="77">
      <x:c r="M77" s="19"/>
      <x:c r="N77" s="19"/>
      <x:c r="O77" s="19"/>
    </x:row>
    <x:row r="78">
      <x:c r="M78" s="19"/>
      <x:c r="N78" s="19"/>
      <x:c r="O78" s="19"/>
    </x:row>
    <x:row r="79">
      <x:c r="M79" s="19"/>
      <x:c r="N79" s="19"/>
      <x:c r="O79" s="19"/>
    </x:row>
    <x:row r="80">
      <x:c r="M80" s="19"/>
      <x:c r="N80" s="19"/>
      <x:c r="O80" s="19"/>
    </x:row>
    <x:row r="81">
      <x:c r="M81" s="19"/>
      <x:c r="N81" s="19"/>
      <x:c r="O81" s="19"/>
    </x:row>
    <x:row r="82">
      <x:c r="M82" s="19"/>
      <x:c r="N82" s="19"/>
      <x:c r="O82" s="19"/>
    </x:row>
    <x:row r="83">
      <x:c r="M83" s="19"/>
      <x:c r="N83" s="19"/>
      <x:c r="O83" s="19"/>
    </x:row>
    <x:row r="84">
      <x:c r="M84" s="19"/>
      <x:c r="N84" s="19"/>
      <x:c r="O84" s="19"/>
    </x:row>
    <x:row r="85">
      <x:c r="M85" s="19"/>
      <x:c r="N85" s="19"/>
      <x:c r="O85" s="19"/>
    </x:row>
    <x:row r="86">
      <x:c r="M86" s="19"/>
      <x:c r="N86" s="19"/>
      <x:c r="O86" s="19"/>
    </x:row>
    <x:row r="87">
      <x:c r="M87" s="19"/>
      <x:c r="N87" s="19"/>
      <x:c r="O87" s="19"/>
    </x:row>
    <x:row r="88">
      <x:c r="M88" s="19"/>
      <x:c r="N88" s="19"/>
      <x:c r="O88" s="19"/>
    </x:row>
    <x:row r="89">
      <x:c r="M89" s="19"/>
      <x:c r="N89" s="19"/>
      <x:c r="O89" s="19"/>
    </x:row>
    <x:row r="90">
      <x:c r="M90" s="19"/>
      <x:c r="N90" s="19"/>
      <x:c r="O90" s="19"/>
    </x:row>
    <x:row r="91">
      <x:c r="M91" s="19"/>
      <x:c r="N91" s="19"/>
      <x:c r="O91" s="19"/>
    </x:row>
    <x:row r="92">
      <x:c r="M92" s="19"/>
      <x:c r="N92" s="19"/>
      <x:c r="O92" s="19"/>
    </x:row>
    <x:row r="93">
      <x:c r="M93" s="19"/>
      <x:c r="N93" s="19"/>
      <x:c r="O93" s="19"/>
    </x:row>
    <x:row r="94">
      <x:c r="M94" s="19"/>
      <x:c r="N94" s="19"/>
      <x:c r="O94" s="19"/>
    </x:row>
    <x:row r="95">
      <x:c r="M95" s="19"/>
      <x:c r="N95" s="19"/>
      <x:c r="O95" s="19"/>
    </x:row>
    <x:row r="96">
      <x:c r="M96" s="19"/>
      <x:c r="N96" s="19"/>
      <x:c r="O96" s="19"/>
    </x:row>
    <x:row r="97">
      <x:c r="M97" s="19"/>
      <x:c r="N97" s="19"/>
      <x:c r="O97" s="19"/>
    </x:row>
    <x:row r="98">
      <x:c r="M98" s="19"/>
      <x:c r="N98" s="19"/>
      <x:c r="O98" s="19"/>
    </x:row>
    <x:row r="99">
      <x:c r="M99" s="19"/>
      <x:c r="N99" s="19"/>
      <x:c r="O99" s="19"/>
    </x:row>
    <x:row r="100">
      <x:c r="M100" s="19"/>
      <x:c r="N100" s="19"/>
      <x:c r="O100" s="19"/>
    </x:row>
    <x:row r="101">
      <x:c r="M101" s="19"/>
      <x:c r="N101" s="19"/>
      <x:c r="O101" s="19"/>
    </x:row>
    <x:row r="102">
      <x:c r="M102" s="19"/>
      <x:c r="N102" s="19"/>
      <x:c r="O102" s="19"/>
    </x:row>
    <x:row r="103">
      <x:c r="M103" s="19"/>
      <x:c r="N103" s="19"/>
      <x:c r="O103" s="19"/>
    </x:row>
    <x:row r="104">
      <x:c r="M104" s="19"/>
      <x:c r="N104" s="19"/>
      <x:c r="O104" s="19"/>
    </x:row>
    <x:row r="105">
      <x:c r="M105" s="19"/>
      <x:c r="N105" s="19"/>
      <x:c r="O105" s="19"/>
    </x:row>
    <x:row r="106">
      <x:c r="M106" s="19"/>
      <x:c r="N106" s="19"/>
      <x:c r="O106" s="19"/>
    </x:row>
    <x:row r="107">
      <x:c r="M107" s="19"/>
      <x:c r="N107" s="19"/>
      <x:c r="O107" s="19"/>
    </x:row>
    <x:row r="108">
      <x:c r="M108" s="19"/>
      <x:c r="N108" s="19"/>
      <x:c r="O108" s="19"/>
    </x:row>
    <x:row r="109">
      <x:c r="M109" s="19"/>
      <x:c r="N109" s="19"/>
      <x:c r="O109" s="19"/>
    </x:row>
    <x:row r="110">
      <x:c r="M110" s="19"/>
      <x:c r="N110" s="19"/>
      <x:c r="O110" s="19"/>
    </x:row>
    <x:row r="111">
      <x:c r="M111" s="19"/>
      <x:c r="N111" s="19"/>
      <x:c r="O111" s="19"/>
    </x:row>
    <x:row r="112">
      <x:c r="M112" s="19"/>
      <x:c r="N112" s="19"/>
      <x:c r="O112" s="19"/>
    </x:row>
    <x:row r="113">
      <x:c r="M113" s="19"/>
      <x:c r="N113" s="19"/>
      <x:c r="O113" s="19"/>
    </x:row>
    <x:row r="114">
      <x:c r="M114" s="19"/>
      <x:c r="N114" s="19"/>
      <x:c r="O114" s="19"/>
    </x:row>
    <x:row r="115">
      <x:c r="M115" s="19"/>
      <x:c r="N115" s="19"/>
      <x:c r="O115" s="19"/>
    </x:row>
    <x:row r="116">
      <x:c r="M116" s="19"/>
      <x:c r="N116" s="19"/>
      <x:c r="O116" s="19"/>
    </x:row>
    <x:row r="117">
      <x:c r="M117" s="19"/>
      <x:c r="N117" s="19"/>
      <x:c r="O117" s="19"/>
    </x:row>
    <x:row r="118">
      <x:c r="M118" s="19"/>
      <x:c r="N118" s="19"/>
      <x:c r="O118" s="19"/>
    </x:row>
    <x:row r="119">
      <x:c r="M119" s="19"/>
      <x:c r="N119" s="19"/>
      <x:c r="O119" s="19"/>
    </x:row>
    <x:row r="120">
      <x:c r="M120" s="19"/>
      <x:c r="N120" s="19"/>
      <x:c r="O120" s="19"/>
    </x:row>
    <x:row r="121">
      <x:c r="M121" s="19"/>
      <x:c r="N121" s="19"/>
      <x:c r="O121" s="19"/>
    </x:row>
    <x:row r="122">
      <x:c r="M122" s="19"/>
      <x:c r="N122" s="19"/>
      <x:c r="O122" s="19"/>
    </x:row>
    <x:row r="123">
      <x:c r="M123" s="19"/>
      <x:c r="N123" s="19"/>
      <x:c r="O123" s="19"/>
    </x:row>
    <x:row r="124">
      <x:c r="M124" s="19"/>
      <x:c r="N124" s="19"/>
      <x:c r="O124" s="19"/>
    </x:row>
    <x:row r="125">
      <x:c r="M125" s="19"/>
      <x:c r="N125" s="19"/>
      <x:c r="O125" s="19"/>
    </x:row>
    <x:row r="126">
      <x:c r="M126" s="19"/>
      <x:c r="N126" s="19"/>
      <x:c r="O126" s="19"/>
    </x:row>
    <x:row r="127">
      <x:c r="M127" s="19"/>
      <x:c r="N127" s="19"/>
      <x:c r="O127" s="19"/>
    </x:row>
    <x:row r="128">
      <x:c r="M128" s="19"/>
      <x:c r="N128" s="19"/>
      <x:c r="O128" s="19"/>
    </x:row>
    <x:row r="129">
      <x:c r="M129" s="19"/>
      <x:c r="N129" s="19"/>
      <x:c r="O129" s="19"/>
    </x:row>
    <x:row r="130">
      <x:c r="M130" s="19"/>
      <x:c r="N130" s="19"/>
      <x:c r="O130" s="19"/>
    </x:row>
    <x:row r="131">
      <x:c r="M131" s="19"/>
      <x:c r="N131" s="19"/>
      <x:c r="O131" s="19"/>
    </x:row>
    <x:row r="132">
      <x:c r="M132" s="19"/>
      <x:c r="N132" s="19"/>
      <x:c r="O132" s="19"/>
    </x:row>
    <x:row r="133">
      <x:c r="M133" s="19"/>
      <x:c r="N133" s="19"/>
      <x:c r="O133" s="19"/>
    </x:row>
    <x:row r="134">
      <x:c r="M134" s="19"/>
      <x:c r="N134" s="19"/>
      <x:c r="O134" s="19"/>
    </x:row>
    <x:row r="135">
      <x:c r="M135" s="19"/>
      <x:c r="N135" s="19"/>
      <x:c r="O135" s="19"/>
    </x:row>
    <x:row r="136">
      <x:c r="M136" s="19"/>
      <x:c r="N136" s="19"/>
      <x:c r="O136" s="19"/>
    </x:row>
    <x:row r="137">
      <x:c r="M137" s="19"/>
      <x:c r="N137" s="19"/>
      <x:c r="O137" s="19"/>
    </x:row>
    <x:row r="138">
      <x:c r="M138" s="19"/>
      <x:c r="N138" s="19"/>
      <x:c r="O138" s="19"/>
    </x:row>
    <x:row r="139">
      <x:c r="M139" s="19"/>
      <x:c r="N139" s="19"/>
      <x:c r="O139" s="19"/>
    </x:row>
    <x:row r="140">
      <x:c r="M140" s="19"/>
      <x:c r="N140" s="19"/>
      <x:c r="O140" s="19"/>
    </x:row>
    <x:row r="141">
      <x:c r="M141" s="19"/>
      <x:c r="N141" s="19"/>
      <x:c r="O141" s="19"/>
    </x:row>
    <x:row r="142">
      <x:c r="M142" s="19"/>
      <x:c r="N142" s="19"/>
      <x:c r="O142" s="19"/>
    </x:row>
    <x:row r="143">
      <x:c r="M143" s="19"/>
      <x:c r="N143" s="19"/>
      <x:c r="O143" s="19"/>
    </x:row>
    <x:row r="144">
      <x:c r="M144" s="19"/>
      <x:c r="N144" s="19"/>
      <x:c r="O144" s="19"/>
    </x:row>
    <x:row r="145">
      <x:c r="M145" s="19"/>
      <x:c r="N145" s="19"/>
      <x:c r="O145" s="19"/>
    </x:row>
    <x:row r="146">
      <x:c r="M146" s="19"/>
      <x:c r="N146" s="19"/>
      <x:c r="O146" s="19"/>
    </x:row>
    <x:row r="147">
      <x:c r="M147" s="19"/>
      <x:c r="N147" s="19"/>
      <x:c r="O147" s="19"/>
    </x:row>
    <x:row r="148">
      <x:c r="M148" s="19"/>
      <x:c r="N148" s="19"/>
      <x:c r="O148" s="19"/>
    </x:row>
    <x:row r="149">
      <x:c r="M149" s="19"/>
      <x:c r="N149" s="19"/>
      <x:c r="O149" s="19"/>
    </x:row>
    <x:row r="150">
      <x:c r="M150" s="19"/>
      <x:c r="N150" s="19"/>
      <x:c r="O150" s="19"/>
    </x:row>
    <x:row r="151">
      <x:c r="M151" s="19"/>
      <x:c r="N151" s="19"/>
      <x:c r="O151" s="19"/>
    </x:row>
    <x:row r="152">
      <x:c r="M152" s="19"/>
      <x:c r="N152" s="19"/>
      <x:c r="O152" s="19"/>
    </x:row>
    <x:row r="153">
      <x:c r="M153" s="19"/>
      <x:c r="N153" s="19"/>
      <x:c r="O153" s="19"/>
    </x:row>
    <x:row r="154">
      <x:c r="M154" s="19"/>
      <x:c r="N154" s="19"/>
      <x:c r="O154" s="19"/>
    </x:row>
    <x:row r="155">
      <x:c r="M155" s="19"/>
      <x:c r="N155" s="19"/>
      <x:c r="O155" s="19"/>
    </x:row>
    <x:row r="156">
      <x:c r="M156" s="19"/>
      <x:c r="N156" s="19"/>
      <x:c r="O156" s="19"/>
    </x:row>
    <x:row r="157">
      <x:c r="M157" s="19"/>
      <x:c r="N157" s="19"/>
      <x:c r="O157" s="19"/>
    </x:row>
    <x:row r="158">
      <x:c r="M158" s="19"/>
      <x:c r="N158" s="19"/>
      <x:c r="O158" s="19"/>
    </x:row>
    <x:row r="159">
      <x:c r="M159" s="19"/>
      <x:c r="N159" s="19"/>
      <x:c r="O159" s="19"/>
    </x:row>
    <x:row r="160">
      <x:c r="M160" s="19"/>
      <x:c r="N160" s="19"/>
      <x:c r="O160" s="19"/>
    </x:row>
    <x:row r="161">
      <x:c r="M161" s="19"/>
      <x:c r="N161" s="19"/>
      <x:c r="O161" s="19"/>
    </x:row>
    <x:row r="162">
      <x:c r="M162" s="19"/>
      <x:c r="N162" s="19"/>
      <x:c r="O162" s="19"/>
    </x:row>
    <x:row r="163">
      <x:c r="M163" s="19"/>
      <x:c r="N163" s="19"/>
      <x:c r="O163" s="19"/>
    </x:row>
    <x:row r="164">
      <x:c r="M164" s="19"/>
      <x:c r="N164" s="19"/>
      <x:c r="O164" s="19"/>
    </x:row>
    <x:row r="165">
      <x:c r="M165" s="19"/>
      <x:c r="N165" s="19"/>
      <x:c r="O165" s="19"/>
    </x:row>
    <x:row r="166">
      <x:c r="M166" s="19"/>
      <x:c r="N166" s="19"/>
      <x:c r="O166" s="19"/>
    </x:row>
    <x:row r="167">
      <x:c r="M167" s="19"/>
      <x:c r="N167" s="19"/>
      <x:c r="O167" s="19"/>
    </x:row>
    <x:row r="168">
      <x:c r="M168" s="19"/>
      <x:c r="N168" s="19"/>
      <x:c r="O168" s="19"/>
    </x:row>
    <x:row r="169">
      <x:c r="M169" s="19"/>
      <x:c r="N169" s="19"/>
      <x:c r="O169" s="19"/>
    </x:row>
    <x:row r="170">
      <x:c r="M170" s="19"/>
      <x:c r="N170" s="19"/>
      <x:c r="O170" s="19"/>
    </x:row>
    <x:row r="171">
      <x:c r="M171" s="19"/>
      <x:c r="N171" s="19"/>
      <x:c r="O171" s="19"/>
    </x:row>
    <x:row r="172">
      <x:c r="M172" s="19"/>
      <x:c r="N172" s="19"/>
      <x:c r="O172" s="19"/>
    </x:row>
    <x:row r="173">
      <x:c r="M173" s="19"/>
      <x:c r="N173" s="19"/>
      <x:c r="O173" s="19"/>
    </x:row>
    <x:row r="174">
      <x:c r="M174" s="19"/>
      <x:c r="N174" s="19"/>
      <x:c r="O174" s="19"/>
    </x:row>
    <x:row r="175">
      <x:c r="M175" s="19"/>
      <x:c r="N175" s="19"/>
      <x:c r="O175" s="19"/>
    </x:row>
    <x:row r="176">
      <x:c r="M176" s="19"/>
      <x:c r="N176" s="19"/>
      <x:c r="O176" s="19"/>
    </x:row>
    <x:row r="177">
      <x:c r="M177" s="19"/>
      <x:c r="N177" s="19"/>
      <x:c r="O177" s="19"/>
    </x:row>
    <x:row r="178">
      <x:c r="M178" s="19"/>
      <x:c r="N178" s="19"/>
      <x:c r="O178" s="19"/>
    </x:row>
    <x:row r="179">
      <x:c r="M179" s="19"/>
      <x:c r="N179" s="19"/>
      <x:c r="O179" s="19"/>
    </x:row>
    <x:row r="180">
      <x:c r="M180" s="19"/>
      <x:c r="N180" s="19"/>
      <x:c r="O180" s="19"/>
    </x:row>
    <x:row r="181">
      <x:c r="M181" s="19"/>
      <x:c r="N181" s="19"/>
      <x:c r="O181" s="19"/>
    </x:row>
    <x:row r="182">
      <x:c r="M182" s="19"/>
      <x:c r="N182" s="19"/>
      <x:c r="O182" s="19"/>
    </x:row>
    <x:row r="183">
      <x:c r="M183" s="19"/>
      <x:c r="N183" s="19"/>
      <x:c r="O183" s="19"/>
    </x:row>
    <x:row r="184">
      <x:c r="M184" s="19"/>
      <x:c r="N184" s="19"/>
      <x:c r="O184" s="19"/>
    </x:row>
    <x:row r="185">
      <x:c r="M185" s="19"/>
      <x:c r="N185" s="19"/>
      <x:c r="O185" s="19"/>
    </x:row>
    <x:row r="186">
      <x:c r="M186" s="19"/>
      <x:c r="N186" s="19"/>
      <x:c r="O186" s="19"/>
    </x:row>
    <x:row r="187">
      <x:c r="M187" s="19"/>
      <x:c r="N187" s="19"/>
      <x:c r="O187" s="19"/>
    </x:row>
    <x:row r="188">
      <x:c r="M188" s="19"/>
      <x:c r="N188" s="19"/>
      <x:c r="O188" s="19"/>
    </x:row>
    <x:row r="189">
      <x:c r="M189" s="19"/>
      <x:c r="N189" s="19"/>
      <x:c r="O189" s="19"/>
    </x:row>
    <x:row r="190">
      <x:c r="M190" s="19"/>
      <x:c r="N190" s="19"/>
      <x:c r="O190" s="19"/>
    </x:row>
    <x:row r="191">
      <x:c r="M191" s="19"/>
      <x:c r="N191" s="19"/>
      <x:c r="O191" s="19"/>
    </x:row>
    <x:row r="192">
      <x:c r="M192" s="19"/>
      <x:c r="N192" s="19"/>
      <x:c r="O192" s="19"/>
    </x:row>
    <x:row r="193">
      <x:c r="M193" s="19"/>
      <x:c r="N193" s="19"/>
      <x:c r="O193" s="19"/>
    </x:row>
    <x:row r="194">
      <x:c r="M194" s="19"/>
      <x:c r="N194" s="19"/>
      <x:c r="O194" s="19"/>
    </x:row>
    <x:row r="195">
      <x:c r="M195" s="19"/>
      <x:c r="N195" s="19"/>
      <x:c r="O195" s="19"/>
    </x:row>
    <x:row r="196">
      <x:c r="M196" s="19"/>
      <x:c r="N196" s="19"/>
      <x:c r="O196" s="19"/>
    </x:row>
    <x:row r="197">
      <x:c r="M197" s="19"/>
      <x:c r="N197" s="19"/>
      <x:c r="O197" s="19"/>
    </x:row>
    <x:row r="198">
      <x:c r="M198" s="19"/>
      <x:c r="N198" s="19"/>
      <x:c r="O198" s="19"/>
    </x:row>
    <x:row r="199">
      <x:c r="M199" s="19"/>
      <x:c r="N199" s="19"/>
      <x:c r="O199" s="19"/>
    </x:row>
    <x:row r="200">
      <x:c r="M200" s="19"/>
      <x:c r="N200" s="19"/>
      <x:c r="O200" s="19"/>
    </x:row>
  </x:sheetData>
  <x:conditionalFormatting sqref="J2:J200">
    <x:cfRule type="expression" dxfId="0" priority="1">
      <x:formula>J2="Current"</x:formula>
    </x:cfRule>
    <x:cfRule type="expression" dxfId="1" priority="2">
      <x:formula>J2="Needs Review"</x:formula>
    </x:cfRule>
    <x:cfRule type="expression" dxfId="2" priority="3">
      <x:formula>J2="Evidence Gap"</x:formula>
    </x:cfRule>
    <x:cfRule type="expression" dxfId="3" priority="4">
      <x:formula>J2="In Development"</x:formula>
    </x:cfRule>
  </x:conditionalFormatting>
  <x:conditionalFormatting sqref="K2:K200">
    <x:cfRule type="expression" dxfId="4" priority="5">
      <x:formula>K2="Missing"</x:formula>
    </x:cfRule>
  </x:conditionalFormatting>
  <x:conditionalFormatting sqref="L2:L200">
    <x:cfRule type="expression" dxfId="5" priority="6">
      <x:formula>L2="High"</x:formula>
    </x:cfRule>
  </x:conditionalFormatting>
  <x:dataValidations count="3">
    <x:dataValidation type="list" sqref="J2:J200">
      <x:formula1>Lists!$A$2:$A$6</x:formula1>
    </x:dataValidation>
    <x:dataValidation type="list" sqref="K2:K200">
      <x:formula1>Lists!$B$2:$B$5</x:formula1>
    </x:dataValidation>
    <x:dataValidation type="list" sqref="L2:L200">
      <x:formula1>Lists!$C$2:$C$4</x:formula1>
    </x:dataValidation>
  </x:dataValidations>
  <x:pageMargins left="0.7" right="0.7" top="0.75" bottom="0.75" header="0.3" footer="0.3"/>
  <x:tableParts count="1">
    <x:tablePart xmlns:r="http://schemas.openxmlformats.org/officeDocument/2006/relationships" r:id="R4d69f80863f04b89"/>
  </x:tableParts>
</x:worksheet>
</file>

<file path=xl/worksheets/sheet2.xml><?xml version="1.0" encoding="utf-8"?>
<x:worksheet xmlns:x="http://schemas.openxmlformats.org/spreadsheetml/2006/main">
  <x:sheetFormatPr defaultRowHeight="15"/>
  <x:cols>
    <x:col min="1" max="1" width="12" hidden="0" customWidth="1"/>
    <x:col min="2" max="2" width="26" hidden="0" customWidth="1"/>
    <x:col min="3" max="3" width="12" hidden="0" customWidth="1"/>
    <x:col min="4" max="4" width="27" hidden="0" customWidth="1"/>
    <x:col min="5" max="5" width="50" hidden="0" customWidth="1"/>
    <x:col min="6" max="6" width="36" hidden="0" customWidth="1"/>
    <x:col min="7" max="7" width="45" hidden="0" customWidth="1"/>
    <x:col min="8" max="8" width="24" hidden="0" customWidth="1"/>
    <x:col min="9" max="9" width="16" hidden="0" customWidth="1"/>
    <x:col min="10" max="10" width="24" hidden="0" customWidth="1"/>
    <x:col min="11" max="11" width="22" hidden="0" customWidth="1"/>
    <x:col min="12" max="12" width="42" hidden="0" customWidth="1"/>
    <x:col min="13" max="13" width="28" hidden="0" customWidth="1"/>
  </x:cols>
  <x:sheetData>
    <x:row r="1" ht="33" customHeight="1">
      <x:c r="A1" s="14" t="str">
        <x:v>Process ID</x:v>
      </x:c>
      <x:c r="B1" s="14" t="str">
        <x:v>MDE Section</x:v>
      </x:c>
      <x:c r="C1" s="14" t="str">
        <x:v>MDE Indicator</x:v>
      </x:c>
      <x:c r="D1" s="14" t="str">
        <x:v>Program / Collection</x:v>
      </x:c>
      <x:c r="E1" s="14" t="str">
        <x:v>Indicator Description</x:v>
      </x:c>
      <x:c r="F1" s="14" t="str">
        <x:v>GRPS Working Process Title</x:v>
      </x:c>
      <x:c r="G1" s="14" t="str">
        <x:v>Existing Evidence / Reference</x:v>
      </x:c>
      <x:c r="H1" s="14" t="str">
        <x:v>Team Involvement</x:v>
      </x:c>
      <x:c r="I1" s="14" t="str">
        <x:v>Process Status</x:v>
      </x:c>
      <x:c r="J1" s="14" t="str">
        <x:v>Evidence Status</x:v>
      </x:c>
      <x:c r="K1" s="14" t="str">
        <x:v>Owner</x:v>
      </x:c>
      <x:c r="L1" s="14" t="str">
        <x:v>Corrective Action / Next Step</x:v>
      </x:c>
      <x:c r="M1" s="14" t="str">
        <x:v>Google Sites Page URL</x:v>
      </x:c>
    </x:row>
    <x:row r="2" ht="33" customHeight="1">
      <x:c r="A2" s="15" t="str">
        <x:v>GRPS-P001</x:v>
      </x:c>
      <x:c r="B2" s="15" t="str">
        <x:v>Section 1</x:v>
      </x:c>
      <x:c r="C2" s="15" t="str">
        <x:v>Indicator 1</x:v>
      </x:c>
      <x:c r="D2" s="15" t="str">
        <x:v>Curriculum</x:v>
      </x:c>
      <x:c r="E2" s="15" t="str">
        <x:v>The LEA ensures each school effectively communicates the curriculum to all instructional staff.</x:v>
      </x:c>
      <x:c r="F2" s="15" t="str">
        <x:v>Curriculum Communication to Instructional Staff</x:v>
      </x:c>
      <x:c r="G2" s="15" t="str"/>
      <x:c r="H2" s="15" t="str">
        <x:v>Curriculum</x:v>
      </x:c>
      <x:c r="I2" s="15" t="str">
        <x:v>Evidence Gap</x:v>
      </x:c>
      <x:c r="J2" s="15" t="str">
        <x:v>Missing</x:v>
      </x:c>
      <x:c r="K2" s="15" t="str"/>
      <x:c r="L2" s="15" t="str">
        <x:v>Identify or develop the written process and supporting evidence; assign owner.</x:v>
      </x:c>
      <x:c r="M2" s="15" t="str"/>
    </x:row>
    <x:row r="3" ht="33" customHeight="1">
      <x:c r="A3" s="15" t="str">
        <x:v>GRPS-P002</x:v>
      </x:c>
      <x:c r="B3" s="15" t="str">
        <x:v>Section 1</x:v>
      </x:c>
      <x:c r="C3" s="15" t="str">
        <x:v>Indicator 2</x:v>
      </x:c>
      <x:c r="D3" s="15" t="str">
        <x:v>Curriculum</x:v>
      </x:c>
      <x:c r="E3" s="15" t="str">
        <x:v>The LEA has procedures in place to ensure that instruction is aligned with the core academic curriculum.</x:v>
      </x:c>
      <x:c r="F3" s="15" t="str">
        <x:v>Core Curriculum Instructional Alignment</x:v>
      </x:c>
      <x:c r="G3" s="15" t="str"/>
      <x:c r="H3" s="15" t="str">
        <x:v>Curriculum</x:v>
      </x:c>
      <x:c r="I3" s="15" t="str">
        <x:v>Evidence Gap</x:v>
      </x:c>
      <x:c r="J3" s="15" t="str">
        <x:v>Missing</x:v>
      </x:c>
      <x:c r="K3" s="15" t="str"/>
      <x:c r="L3" s="15" t="str">
        <x:v>Identify or develop the written process and supporting evidence; assign owner.</x:v>
      </x:c>
      <x:c r="M3" s="15" t="str"/>
    </x:row>
    <x:row r="4" ht="33" customHeight="1">
      <x:c r="A4" s="15" t="str">
        <x:v>GRPS-P003</x:v>
      </x:c>
      <x:c r="B4" s="15" t="str">
        <x:v>Section 2</x:v>
      </x:c>
      <x:c r="C4" s="15" t="str">
        <x:v>Indicator 1</x:v>
      </x:c>
      <x:c r="D4" s="15" t="str">
        <x:v>Title I, Part A</x:v>
      </x:c>
      <x:c r="E4" s="15" t="str">
        <x:v>A written process is implemented to monitor implementation of the Title I, Part A program at the school-level.</x:v>
      </x:c>
      <x:c r="F4" s="15" t="str">
        <x:v>Title I School-Level Implementation Monitoring</x:v>
      </x:c>
      <x:c r="G4" s="15" t="str">
        <x:v>Section 2, Indicator 1 - Monitor Implementation of Title I A Program_Updated.docx; David's Sample</x:v>
      </x:c>
      <x:c r="H4" s="15" t="str">
        <x:v>Title I</x:v>
      </x:c>
      <x:c r="I4" s="15" t="str">
        <x:v>Needs Review</x:v>
      </x:c>
      <x:c r="J4" s="15" t="str">
        <x:v>Partial / Needs Verification</x:v>
      </x:c>
      <x:c r="K4" s="15" t="str"/>
      <x:c r="L4" s="15" t="str">
        <x:v>Validate current process, owner, evidence, and effective date before publishing.</x:v>
      </x:c>
      <x:c r="M4" s="15" t="str"/>
    </x:row>
    <x:row r="5" ht="33" customHeight="1">
      <x:c r="A5" s="15" t="str">
        <x:v>GRPS-P004</x:v>
      </x:c>
      <x:c r="B5" s="15" t="str">
        <x:v>Section 2</x:v>
      </x:c>
      <x:c r="C5" s="15" t="str">
        <x:v>Indicator 2</x:v>
      </x:c>
      <x:c r="D5" s="15" t="str">
        <x:v>Title I, Part A</x:v>
      </x:c>
      <x:c r="E5" s="15" t="str">
        <x:v>The LEA provides technical assistance and support to schools to ensure that school-level Title I, Part A budget requests are allowable in accordance with program legislation.</x:v>
      </x:c>
      <x:c r="F5" s="15" t="str">
        <x:v>Title I Budget Allowability &amp; Technical Assistance</x:v>
      </x:c>
      <x:c r="G5" s="15" t="str">
        <x:v>GRPS District Level Title I Program Oversight Process DRAFT.doc; Non-Public Program Technical Assistance Packet (mentioned); David's Sample; Title I Technology - Equipment Process and Procedures revised 1-13-14.pdf</x:v>
      </x:c>
      <x:c r="H5" s="15" t="str">
        <x:v>Title I</x:v>
      </x:c>
      <x:c r="I5" s="15" t="str">
        <x:v>Needs Review</x:v>
      </x:c>
      <x:c r="J5" s="15" t="str">
        <x:v>Partial / Needs Verification</x:v>
      </x:c>
      <x:c r="K5" s="15" t="str"/>
      <x:c r="L5" s="15" t="str">
        <x:v>Validate current process, owner, evidence, and effective date before publishing.</x:v>
      </x:c>
      <x:c r="M5" s="15" t="str"/>
    </x:row>
    <x:row r="6" ht="33" customHeight="1">
      <x:c r="A6" s="15" t="str">
        <x:v>GRPS-P005</x:v>
      </x:c>
      <x:c r="B6" s="15" t="str">
        <x:v>Section 2</x:v>
      </x:c>
      <x:c r="C6" s="15" t="str">
        <x:v>Indicator 3</x:v>
      </x:c>
      <x:c r="D6" s="15" t="str">
        <x:v>Title I, Part A</x:v>
      </x:c>
      <x:c r="E6" s="15" t="str">
        <x:v>The LEA has implemented a written process to ensure that school-level decision-making authority exists for Title I, Part A program design, implementation, and evaluation.</x:v>
      </x:c>
      <x:c r="F6" s="15" t="str">
        <x:v>Title I School-Level Decision-Making Authority</x:v>
      </x:c>
      <x:c r="G6" s="15" t="str">
        <x:v>Section 2, Indicator 4 - School Level Decision Making Authority.docx; Section 2, Indicator 5 - Program Implementation.docx; Section 2, Indicator 12 - Evaluate district level programs.docx; David's Sample - Design; David's Sample - Implementation; David's Sample - Evaluation</x:v>
      </x:c>
      <x:c r="H6" s="15" t="str">
        <x:v>Title I</x:v>
      </x:c>
      <x:c r="I6" s="15" t="str">
        <x:v>Needs Review</x:v>
      </x:c>
      <x:c r="J6" s="15" t="str">
        <x:v>Partial / Needs Verification</x:v>
      </x:c>
      <x:c r="K6" s="15" t="str"/>
      <x:c r="L6" s="15" t="str">
        <x:v>Validate current process, owner, evidence, and effective date before publishing.</x:v>
      </x:c>
      <x:c r="M6" s="15" t="str"/>
    </x:row>
    <x:row r="7" ht="33" customHeight="1">
      <x:c r="A7" s="15" t="str">
        <x:v>GRPS-P006</x:v>
      </x:c>
      <x:c r="B7" s="15" t="str">
        <x:v>Section 2</x:v>
      </x:c>
      <x:c r="C7" s="15" t="str">
        <x:v>Indicator 4</x:v>
      </x:c>
      <x:c r="D7" s="15" t="str">
        <x:v>Title I, Part A</x:v>
      </x:c>
      <x:c r="E7" s="15" t="str">
        <x:v>The LEA has implemented a written process to ensure that Title I, Part A supplementary programs/services are evaluated annually for effectiveness and impact on student achievement.</x:v>
      </x:c>
      <x:c r="F7" s="15" t="str">
        <x:v>Title I Annual Program Evaluation</x:v>
      </x:c>
      <x:c r="G7" s="15" t="str">
        <x:v>Section 2, Indicator 7 - Program Evaluation.docx; David's Sample - Implement; David's Sample - Evaluate; School Visitation Monitoring Procedures 1-6-15.pdf</x:v>
      </x:c>
      <x:c r="H7" s="15" t="str">
        <x:v>Title I</x:v>
      </x:c>
      <x:c r="I7" s="15" t="str">
        <x:v>Needs Review</x:v>
      </x:c>
      <x:c r="J7" s="15" t="str">
        <x:v>Partial / Needs Verification</x:v>
      </x:c>
      <x:c r="K7" s="15" t="str"/>
      <x:c r="L7" s="15" t="str">
        <x:v>Validate current process, owner, evidence, and effective date before publishing.</x:v>
      </x:c>
      <x:c r="M7" s="15" t="str"/>
    </x:row>
    <x:row r="8" ht="33" customHeight="1">
      <x:c r="A8" s="15" t="str">
        <x:v>GRPS-P007</x:v>
      </x:c>
      <x:c r="B8" s="15" t="str">
        <x:v>Section 2</x:v>
      </x:c>
      <x:c r="C8" s="15" t="str">
        <x:v>Indicator 5</x:v>
      </x:c>
      <x:c r="D8" s="15" t="str">
        <x:v>Title I, Part A</x:v>
      </x:c>
      <x:c r="E8" s="15" t="str">
        <x:v>The LEA has a written Parent and Family Engagement policy which has been developed jointly with parents to establish expectations and objectives for meaningful parent and family engagement in accordance with Section 1116 of ESEA.</x:v>
      </x:c>
      <x:c r="F8" s="15" t="str">
        <x:v>Title I Parent &amp; Family Engagement Policy</x:v>
      </x:c>
      <x:c r="G8" s="15" t="str">
        <x:v>David's Sample</x:v>
      </x:c>
      <x:c r="H8" s="15" t="str">
        <x:v>FACE</x:v>
      </x:c>
      <x:c r="I8" s="15" t="str">
        <x:v>Needs Review</x:v>
      </x:c>
      <x:c r="J8" s="15" t="str">
        <x:v>Partial / Needs Verification</x:v>
      </x:c>
      <x:c r="K8" s="15" t="str"/>
      <x:c r="L8" s="15" t="str">
        <x:v>Reconcile GRPS content with the updated MDE study guide before publishing.</x:v>
      </x:c>
      <x:c r="M8" s="15" t="str"/>
    </x:row>
    <x:row r="9" ht="33" customHeight="1">
      <x:c r="A9" s="15" t="str">
        <x:v>GRPS-P008</x:v>
      </x:c>
      <x:c r="B9" s="15" t="str">
        <x:v>Section 2</x:v>
      </x:c>
      <x:c r="C9" s="15" t="str">
        <x:v>Indicator 6</x:v>
      </x:c>
      <x:c r="D9" s="15" t="str">
        <x:v>Title I, Part A</x:v>
      </x:c>
      <x:c r="E9" s="15" t="str">
        <x:v>The LEA has implemented a written process to ensure stakeholders’ involvement in district-level program decisionmaking.</x:v>
      </x:c>
      <x:c r="F9" s="15" t="str">
        <x:v>District-Level Stakeholder Involvement</x:v>
      </x:c>
      <x:c r="G9" s="15" t="str">
        <x:v>Section 2, Indicator 11 - Stakeholder's involvement district-level program decision making.doc</x:v>
      </x:c>
      <x:c r="H9" s="15" t="str">
        <x:v>Title I</x:v>
      </x:c>
      <x:c r="I9" s="15" t="str">
        <x:v>Needs Review</x:v>
      </x:c>
      <x:c r="J9" s="15" t="str">
        <x:v>Partial / Needs Verification</x:v>
      </x:c>
      <x:c r="K9" s="15" t="str"/>
      <x:c r="L9" s="15" t="str">
        <x:v>Validate current process, owner, evidence, and effective date before publishing.</x:v>
      </x:c>
      <x:c r="M9" s="15" t="str"/>
    </x:row>
    <x:row r="10" ht="33" customHeight="1">
      <x:c r="A10" s="15" t="str">
        <x:v>GRPS-P009</x:v>
      </x:c>
      <x:c r="B10" s="15" t="str">
        <x:v>Section 2</x:v>
      </x:c>
      <x:c r="C10" s="15" t="str">
        <x:v>Indicator 7</x:v>
      </x:c>
      <x:c r="D10" s="15" t="str">
        <x:v>Title I, Part A</x:v>
      </x:c>
      <x:c r="E10" s="15" t="str">
        <x:v>In LEAs where the Title I allocation is more than $500,000, parents are involved in the decision of the use of the 1% reservation for parental involvement initiatives/activities.</x:v>
      </x:c>
      <x:c r="F10" s="15" t="str">
        <x:v>Title I 1% Parent Involvement Reservation Decision-Making</x:v>
      </x:c>
      <x:c r="G10" s="15" t="str">
        <x:v>David's Sample</x:v>
      </x:c>
      <x:c r="H10" s="15" t="str">
        <x:v>FACE, Title I</x:v>
      </x:c>
      <x:c r="I10" s="15" t="str">
        <x:v>Needs Review</x:v>
      </x:c>
      <x:c r="J10" s="15" t="str">
        <x:v>Partial / Needs Verification</x:v>
      </x:c>
      <x:c r="K10" s="15" t="str"/>
      <x:c r="L10" s="15" t="str">
        <x:v>Validate current process, owner, evidence, and effective date before publishing.</x:v>
      </x:c>
      <x:c r="M10" s="15" t="str"/>
    </x:row>
    <x:row r="11" ht="33" customHeight="1">
      <x:c r="A11" s="15" t="str">
        <x:v>GRPS-P010</x:v>
      </x:c>
      <x:c r="B11" s="15" t="str">
        <x:v>Section 2</x:v>
      </x:c>
      <x:c r="C11" s="15" t="str">
        <x:v>Indicator 8</x:v>
      </x:c>
      <x:c r="D11" s="15" t="str">
        <x:v>Title I, Part A</x:v>
      </x:c>
      <x:c r="E11" s="15" t="str">
        <x:v>If the LEA reserved more than 1% for parental involvement initiatives/activities, collaboration with stakeholders was conducted and support from stakeholders was received.</x:v>
      </x:c>
      <x:c r="F11" s="15" t="str">
        <x:v>Title I Parent Involvement Reservation Stakeholder Collaboration</x:v>
      </x:c>
      <x:c r="G11" s="15" t="str">
        <x:v>David's Sample</x:v>
      </x:c>
      <x:c r="H11" s="15" t="str">
        <x:v>FACE/Title I</x:v>
      </x:c>
      <x:c r="I11" s="15" t="str">
        <x:v>Needs Review</x:v>
      </x:c>
      <x:c r="J11" s="15" t="str">
        <x:v>Partial / Needs Verification</x:v>
      </x:c>
      <x:c r="K11" s="15" t="str"/>
      <x:c r="L11" s="15" t="str">
        <x:v>Validate current process, owner, evidence, and effective date before publishing.</x:v>
      </x:c>
      <x:c r="M11" s="15" t="str"/>
    </x:row>
    <x:row r="12" ht="33" customHeight="1">
      <x:c r="A12" s="15" t="str">
        <x:v>GRPS-P011</x:v>
      </x:c>
      <x:c r="B12" s="15" t="str">
        <x:v>Section 2 (Private Schools)</x:v>
      </x:c>
      <x:c r="C12" s="15" t="str">
        <x:v>Indicator 1</x:v>
      </x:c>
      <x:c r="D12" s="15" t="str">
        <x:v>Title I, Part A - Private Schools</x:v>
      </x:c>
      <x:c r="E12" s="15" t="str">
        <x:v>Private school representatives are included in program planning and evaluation.</x:v>
      </x:c>
      <x:c r="F12" s="15" t="str">
        <x:v>Private School Program Planning &amp; Evaluation</x:v>
      </x:c>
      <x:c r="G12" s="15" t="str">
        <x:v>David's Sample; Non-public steps to invite 1-6-15.pdf</x:v>
      </x:c>
      <x:c r="H12" s="15" t="str">
        <x:v>Title I Part A</x:v>
      </x:c>
      <x:c r="I12" s="15" t="str">
        <x:v>Needs Review</x:v>
      </x:c>
      <x:c r="J12" s="15" t="str">
        <x:v>Partial / Needs Verification</x:v>
      </x:c>
      <x:c r="K12" s="15" t="str"/>
      <x:c r="L12" s="15" t="str">
        <x:v>Validate current process, owner, evidence, and effective date before publishing.</x:v>
      </x:c>
      <x:c r="M12" s="15" t="str"/>
    </x:row>
    <x:row r="13" ht="33" customHeight="1">
      <x:c r="A13" s="15" t="str">
        <x:v>GRPS-P012</x:v>
      </x:c>
      <x:c r="B13" s="15" t="str">
        <x:v>Section 2 (Private Schools)</x:v>
      </x:c>
      <x:c r="C13" s="15" t="str">
        <x:v>Indicator 2</x:v>
      </x:c>
      <x:c r="D13" s="15" t="str">
        <x:v>Title I, Part A - Private Schools</x:v>
      </x:c>
      <x:c r="E13" s="15" t="str">
        <x:v>The LEA and the private school have ongoing communication.</x:v>
      </x:c>
      <x:c r="F13" s="15" t="str">
        <x:v>Private School Ongoing Communication</x:v>
      </x:c>
      <x:c r="G13" s="15" t="str">
        <x:v>GRPS District Level Title I Program Oversight Process DRAFT.doc; David's Sample</x:v>
      </x:c>
      <x:c r="H13" s="15" t="str">
        <x:v>Title I Part A</x:v>
      </x:c>
      <x:c r="I13" s="15" t="str">
        <x:v>Needs Review</x:v>
      </x:c>
      <x:c r="J13" s="15" t="str">
        <x:v>Partial / Needs Verification</x:v>
      </x:c>
      <x:c r="K13" s="15" t="str"/>
      <x:c r="L13" s="15" t="str">
        <x:v>Validate current process, owner, evidence, and effective date before publishing.</x:v>
      </x:c>
      <x:c r="M13" s="15" t="str"/>
    </x:row>
    <x:row r="14" ht="33" customHeight="1">
      <x:c r="A14" s="15" t="str">
        <x:v>GRPS-P013</x:v>
      </x:c>
      <x:c r="B14" s="15" t="str">
        <x:v>Section 2 (Private Schools)</x:v>
      </x:c>
      <x:c r="C14" s="15" t="str">
        <x:v>Indicator 3</x:v>
      </x:c>
      <x:c r="D14" s="15" t="str">
        <x:v>Title I, Part A - Private Schools</x:v>
      </x:c>
      <x:c r="E14" s="15" t="str">
        <x:v>A needs assessment for the private school in the core academic curriculum areas is used to determine Title I, Part A services.</x:v>
      </x:c>
      <x:c r="F14" s="15" t="str">
        <x:v>Private School Needs Assessment</x:v>
      </x:c>
      <x:c r="G14" s="15" t="str">
        <x:v>GRPS District Level Title I Program Oversight Process DRAFT.doc; David's Sample</x:v>
      </x:c>
      <x:c r="H14" s="15" t="str">
        <x:v>Title I Part A</x:v>
      </x:c>
      <x:c r="I14" s="15" t="str">
        <x:v>Needs Review</x:v>
      </x:c>
      <x:c r="J14" s="15" t="str">
        <x:v>Partial / Needs Verification</x:v>
      </x:c>
      <x:c r="K14" s="15" t="str"/>
      <x:c r="L14" s="15" t="str">
        <x:v>Validate sufficiency of evidence and add supporting artifacts if needed.</x:v>
      </x:c>
      <x:c r="M14" s="15" t="str"/>
    </x:row>
    <x:row r="15" ht="33" customHeight="1">
      <x:c r="A15" s="15" t="str">
        <x:v>GRPS-P014</x:v>
      </x:c>
      <x:c r="B15" s="15" t="str">
        <x:v>Section 2 (Neglected)</x:v>
      </x:c>
      <x:c r="C15" s="15" t="str">
        <x:v>Indicator 1</x:v>
      </x:c>
      <x:c r="D15" s="15" t="str">
        <x:v>Title I, Part D - Neglected</x:v>
      </x:c>
      <x:c r="E15" s="15" t="str">
        <x:v>Programs/services are based on a needs assessment.</x:v>
      </x:c>
      <x:c r="F15" s="15" t="str">
        <x:v>Neglected Program Needs Assessment</x:v>
      </x:c>
      <x:c r="G15" s="15" t="str">
        <x:v>Title I Part D - Subpart 2 Procedures 1_16_15.pdf</x:v>
      </x:c>
      <x:c r="H15" s="15" t="str">
        <x:v>Title I, Part D</x:v>
      </x:c>
      <x:c r="I15" s="15" t="str">
        <x:v>Needs Review</x:v>
      </x:c>
      <x:c r="J15" s="15" t="str">
        <x:v>Partial / Needs Verification</x:v>
      </x:c>
      <x:c r="K15" s="15" t="str"/>
      <x:c r="L15" s="15" t="str">
        <x:v>Validate current process, owner, evidence, and effective date before publishing.</x:v>
      </x:c>
      <x:c r="M15" s="15" t="str"/>
    </x:row>
    <x:row r="16" ht="33" customHeight="1">
      <x:c r="A16" s="15" t="str">
        <x:v>GRPS-P015</x:v>
      </x:c>
      <x:c r="B16" s="15" t="str">
        <x:v>Section 2 (Neglected)</x:v>
      </x:c>
      <x:c r="C16" s="15" t="str">
        <x:v>Indicator 2</x:v>
      </x:c>
      <x:c r="D16" s="15" t="str">
        <x:v>Title I, Part D - Neglected</x:v>
      </x:c>
      <x:c r="E16" s="15" t="str">
        <x:v>Programs/services are supplementary to the core instructional program.</x:v>
      </x:c>
      <x:c r="F16" s="15" t="str">
        <x:v>Neglected Supplemental Services</x:v>
      </x:c>
      <x:c r="G16" s="15" t="str">
        <x:v>Title I Part D - Subpart 2 Procedures 1_16_15.pdf</x:v>
      </x:c>
      <x:c r="H16" s="15" t="str">
        <x:v>Title I, Part D</x:v>
      </x:c>
      <x:c r="I16" s="15" t="str">
        <x:v>Needs Review</x:v>
      </x:c>
      <x:c r="J16" s="15" t="str">
        <x:v>Partial / Needs Verification</x:v>
      </x:c>
      <x:c r="K16" s="15" t="str"/>
      <x:c r="L16" s="15" t="str">
        <x:v>Validate current process, owner, evidence, and effective date before publishing.</x:v>
      </x:c>
      <x:c r="M16" s="15" t="str"/>
    </x:row>
    <x:row r="17" ht="33" customHeight="1">
      <x:c r="A17" s="15" t="str">
        <x:v>GRPS-P016</x:v>
      </x:c>
      <x:c r="B17" s="15" t="str">
        <x:v>Section 2 (Neglected)</x:v>
      </x:c>
      <x:c r="C17" s="15" t="str">
        <x:v>Indicator 3</x:v>
      </x:c>
      <x:c r="D17" s="15" t="str">
        <x:v>Title I, Part D - Neglected</x:v>
      </x:c>
      <x:c r="E17" s="15" t="str">
        <x:v>The LEA provides oversight for programs/services.</x:v>
      </x:c>
      <x:c r="F17" s="15" t="str">
        <x:v>Neglected Program Oversight</x:v>
      </x:c>
      <x:c r="G17" s="15" t="str">
        <x:v>Title I Part D - Student Services Procedures.pdf; School Visitation Monitoring Procedures 1-6-15.pdf</x:v>
      </x:c>
      <x:c r="H17" s="15" t="str">
        <x:v>Title I, Part D</x:v>
      </x:c>
      <x:c r="I17" s="15" t="str">
        <x:v>Needs Review</x:v>
      </x:c>
      <x:c r="J17" s="15" t="str">
        <x:v>Partial / Needs Verification</x:v>
      </x:c>
      <x:c r="K17" s="15" t="str"/>
      <x:c r="L17" s="15" t="str">
        <x:v>Validate current process, owner, evidence, and effective date before publishing.</x:v>
      </x:c>
      <x:c r="M17" s="15" t="str"/>
    </x:row>
    <x:row r="18" ht="33" customHeight="1">
      <x:c r="A18" s="15" t="str">
        <x:v>GRPS-P017</x:v>
      </x:c>
      <x:c r="B18" s="15" t="str">
        <x:v>Section 2 (Neglected)</x:v>
      </x:c>
      <x:c r="C18" s="15" t="str">
        <x:v>Indicator 4</x:v>
      </x:c>
      <x:c r="D18" s="15" t="str">
        <x:v>Title I, Part D - Neglected</x:v>
      </x:c>
      <x:c r="E18" s="15" t="str">
        <x:v>Programs/services are evaluated annually for effectiveness and impact on student achievement.</x:v>
      </x:c>
      <x:c r="F18" s="15" t="str">
        <x:v>Neglected Annual Program Evaluation</x:v>
      </x:c>
      <x:c r="G18" s="15" t="str">
        <x:v>Title I Part D - Student Services Procedures.pdf</x:v>
      </x:c>
      <x:c r="H18" s="15" t="str">
        <x:v>Title I, Part D</x:v>
      </x:c>
      <x:c r="I18" s="15" t="str">
        <x:v>Needs Review</x:v>
      </x:c>
      <x:c r="J18" s="15" t="str">
        <x:v>Partial / Needs Verification</x:v>
      </x:c>
      <x:c r="K18" s="15" t="str"/>
      <x:c r="L18" s="15" t="str">
        <x:v>Validate current process, owner, evidence, and effective date before publishing.</x:v>
      </x:c>
      <x:c r="M18" s="15" t="str"/>
    </x:row>
    <x:row r="19" ht="33" customHeight="1">
      <x:c r="A19" s="15" t="str">
        <x:v>GRPS-P018</x:v>
      </x:c>
      <x:c r="B19" s="15" t="str">
        <x:v>Section 2 (Delinquent)</x:v>
      </x:c>
      <x:c r="C19" s="15" t="str">
        <x:v>Indicator 1</x:v>
      </x:c>
      <x:c r="D19" s="15" t="str">
        <x:v>Title I, Part D - Delinquent</x:v>
      </x:c>
      <x:c r="E19" s="15" t="str">
        <x:v>Supplementary programs/services are based on a needs assessment.</x:v>
      </x:c>
      <x:c r="F19" s="15" t="str">
        <x:v>Delinquent Program Needs Assessment</x:v>
      </x:c>
      <x:c r="G19" s="15" t="str">
        <x:v>Sample 1 District Level Title I Part A Program Oversight Process.pdf</x:v>
      </x:c>
      <x:c r="H19" s="15" t="str">
        <x:v>Title I Part D</x:v>
      </x:c>
      <x:c r="I19" s="15" t="str">
        <x:v>Needs Review</x:v>
      </x:c>
      <x:c r="J19" s="15" t="str">
        <x:v>Partial / Needs Verification</x:v>
      </x:c>
      <x:c r="K19" s="15" t="str"/>
      <x:c r="L19" s="15" t="str">
        <x:v>Validate current process, owner, evidence, and effective date before publishing.</x:v>
      </x:c>
      <x:c r="M19" s="15" t="str"/>
    </x:row>
    <x:row r="20" ht="33" customHeight="1">
      <x:c r="A20" s="15" t="str">
        <x:v>GRPS-P019</x:v>
      </x:c>
      <x:c r="B20" s="15" t="str">
        <x:v>Section 2 (Delinquent)</x:v>
      </x:c>
      <x:c r="C20" s="15" t="str">
        <x:v>Indicator 2</x:v>
      </x:c>
      <x:c r="D20" s="15" t="str">
        <x:v>Title I, Part D - Delinquent</x:v>
      </x:c>
      <x:c r="E20" s="15" t="str">
        <x:v>The LEA collaborates with the facility stakeholders regarding program needs and the budget.</x:v>
      </x:c>
      <x:c r="F20" s="15" t="str">
        <x:v>Facility Stakeholder Collaboration &amp; Budget</x:v>
      </x:c>
      <x:c r="G20" s="15" t="str">
        <x:v>Title I, Part D, Indicator 2.docx</x:v>
      </x:c>
      <x:c r="H20" s="15" t="str">
        <x:v>Title I Part D</x:v>
      </x:c>
      <x:c r="I20" s="15" t="str">
        <x:v>Needs Review</x:v>
      </x:c>
      <x:c r="J20" s="15" t="str">
        <x:v>Partial / Needs Verification</x:v>
      </x:c>
      <x:c r="K20" s="15" t="str"/>
      <x:c r="L20" s="15" t="str">
        <x:v>Validate current process, owner, evidence, and effective date before publishing.</x:v>
      </x:c>
      <x:c r="M20" s="15" t="str"/>
    </x:row>
    <x:row r="21" ht="33" customHeight="1">
      <x:c r="A21" s="15" t="str">
        <x:v>GRPS-P020</x:v>
      </x:c>
      <x:c r="B21" s="15" t="str">
        <x:v>Section 2 (Delinquent)</x:v>
      </x:c>
      <x:c r="C21" s="15" t="str">
        <x:v>Indicator 3</x:v>
      </x:c>
      <x:c r="D21" s="15" t="str">
        <x:v>Title I, Part D - Delinquent</x:v>
      </x:c>
      <x:c r="E21" s="15" t="str">
        <x:v>The LEA provides oversight for supplementary programs/services while maintaining a formal agreement with the facility and service provider.</x:v>
      </x:c>
      <x:c r="F21" s="15" t="str">
        <x:v>Delinquent Program Oversight &amp; Formal Agreements</x:v>
      </x:c>
      <x:c r="G21" s="15" t="str">
        <x:v>Title I, Part D, Indicator 3.docx; School Visitation Monitoring Procedures 1-6-15.pdf</x:v>
      </x:c>
      <x:c r="H21" s="15" t="str">
        <x:v>Title I Part D</x:v>
      </x:c>
      <x:c r="I21" s="15" t="str">
        <x:v>Needs Review</x:v>
      </x:c>
      <x:c r="J21" s="15" t="str">
        <x:v>Partial / Needs Verification</x:v>
      </x:c>
      <x:c r="K21" s="15" t="str"/>
      <x:c r="L21" s="15" t="str">
        <x:v>Validate current process, owner, evidence, and effective date before publishing.</x:v>
      </x:c>
      <x:c r="M21" s="15" t="str"/>
    </x:row>
    <x:row r="22" ht="33" customHeight="1">
      <x:c r="A22" s="15" t="str">
        <x:v>GRPS-P021</x:v>
      </x:c>
      <x:c r="B22" s="15" t="str">
        <x:v>Section 2 (Delinquent)</x:v>
      </x:c>
      <x:c r="C22" s="15" t="str">
        <x:v>Indicator 4</x:v>
      </x:c>
      <x:c r="D22" s="15" t="str">
        <x:v>Title I, Part D - Delinquent</x:v>
      </x:c>
      <x:c r="E22" s="15" t="str">
        <x:v>Supplementary programs/services are reviewed annually for effectiveness and impact on student achievement.</x:v>
      </x:c>
      <x:c r="F22" s="15" t="str">
        <x:v>Delinquent Annual Program Review</x:v>
      </x:c>
      <x:c r="G22" s="15" t="str">
        <x:v>Sample 1 District Level Title I Part A Program Oversight Process.pdf</x:v>
      </x:c>
      <x:c r="H22" s="15" t="str">
        <x:v>Title I Part D</x:v>
      </x:c>
      <x:c r="I22" s="15" t="str">
        <x:v>Needs Review</x:v>
      </x:c>
      <x:c r="J22" s="15" t="str">
        <x:v>Partial / Needs Verification</x:v>
      </x:c>
      <x:c r="K22" s="15" t="str"/>
      <x:c r="L22" s="15" t="str">
        <x:v>Validate current process, owner, evidence, and effective date before publishing.</x:v>
      </x:c>
      <x:c r="M22" s="15" t="str"/>
    </x:row>
    <x:row r="23" ht="33" customHeight="1">
      <x:c r="A23" s="15" t="str">
        <x:v>GRPS-P022</x:v>
      </x:c>
      <x:c r="B23" s="15" t="str">
        <x:v>Section 2 (Delinquent)</x:v>
      </x:c>
      <x:c r="C23" s="15" t="str">
        <x:v>Indicator 5</x:v>
      </x:c>
      <x:c r="D23" s="15" t="str">
        <x:v>Title I, Part D - Delinquent</x:v>
      </x:c>
      <x:c r="E23" s="15" t="str">
        <x:v>The LEA ensures that transition services are provided to children and youth between the facilities and locally operated programs (including LEAs, Alternate Education Programs, Higher Education, Community Workforce) upon entry and exit from the facility.</x:v>
      </x:c>
      <x:c r="F23" s="15" t="str">
        <x:v>Delinquent Transition Services</x:v>
      </x:c>
      <x:c r="G23" s="15" t="str">
        <x:v>Sample 1 District Level Title I Part A Program Oversight Process.pdf</x:v>
      </x:c>
      <x:c r="H23" s="15" t="str">
        <x:v>Title I Part D</x:v>
      </x:c>
      <x:c r="I23" s="15" t="str">
        <x:v>Needs Review</x:v>
      </x:c>
      <x:c r="J23" s="15" t="str">
        <x:v>Partial / Needs Verification</x:v>
      </x:c>
      <x:c r="K23" s="15" t="str"/>
      <x:c r="L23" s="15" t="str">
        <x:v>Validate current process, owner, evidence, and effective date before publishing.</x:v>
      </x:c>
      <x:c r="M23" s="15" t="str"/>
    </x:row>
    <x:row r="24" ht="33" customHeight="1">
      <x:c r="A24" s="15" t="str">
        <x:v>GRPS-P023</x:v>
      </x:c>
      <x:c r="B24" s="15" t="str">
        <x:v>Section 2 (Title II, Part A)</x:v>
      </x:c>
      <x:c r="C24" s="15" t="str">
        <x:v>Indicator 1</x:v>
      </x:c>
      <x:c r="D24" s="15" t="str">
        <x:v>Title II, Part A</x:v>
      </x:c>
      <x:c r="E24" s="15" t="str">
        <x:v>A needs assessment is conducted to determine the focus of PL efforts.</x:v>
      </x:c>
      <x:c r="F24" s="15" t="str">
        <x:v>Title II Professional Learning Needs Assessment</x:v>
      </x:c>
      <x:c r="G24" s="15" t="str">
        <x:v>Professional Development Plan Procedures.pdf; Title II Part A Procedures 1_16_15.pdf</x:v>
      </x:c>
      <x:c r="H24" s="15" t="str">
        <x:v>N/A</x:v>
      </x:c>
      <x:c r="I24" s="15" t="str">
        <x:v>Needs Review</x:v>
      </x:c>
      <x:c r="J24" s="15" t="str">
        <x:v>Partial / Needs Verification</x:v>
      </x:c>
      <x:c r="K24" s="15" t="str"/>
      <x:c r="L24" s="15" t="str">
        <x:v>Validate current process, owner, evidence, and effective date before publishing.</x:v>
      </x:c>
      <x:c r="M24" s="15" t="str"/>
    </x:row>
    <x:row r="25" ht="33" customHeight="1">
      <x:c r="A25" s="15" t="str">
        <x:v>GRPS-P024</x:v>
      </x:c>
      <x:c r="B25" s="15" t="str">
        <x:v>Section 2 (Title II, Part A)</x:v>
      </x:c>
      <x:c r="C25" s="15" t="str">
        <x:v>Indicator 2</x:v>
      </x:c>
      <x:c r="D25" s="15" t="str">
        <x:v>Title II, Part A</x:v>
      </x:c>
      <x:c r="E25" s="15" t="str">
        <x:v>PL activities are sustained/ongoing and based on evidence.</x:v>
      </x:c>
      <x:c r="F25" s="15" t="str">
        <x:v>Sustained Evidence-Based Professional Learning</x:v>
      </x:c>
      <x:c r="G25" s="15" t="str">
        <x:v>Professional Development Plan Procedures.pdf; Title II Part A Procedures 1_16_15.pdf</x:v>
      </x:c>
      <x:c r="H25" s="15" t="str">
        <x:v>N/A</x:v>
      </x:c>
      <x:c r="I25" s="15" t="str">
        <x:v>Needs Review</x:v>
      </x:c>
      <x:c r="J25" s="15" t="str">
        <x:v>Partial / Needs Verification</x:v>
      </x:c>
      <x:c r="K25" s="15" t="str"/>
      <x:c r="L25" s="15" t="str">
        <x:v>Validate current process, owner, evidence, and effective date before publishing.</x:v>
      </x:c>
      <x:c r="M25" s="15" t="str"/>
    </x:row>
    <x:row r="26" ht="33" customHeight="1">
      <x:c r="A26" s="15" t="str">
        <x:v>GRPS-P025</x:v>
      </x:c>
      <x:c r="B26" s="15" t="str">
        <x:v>Section 2 (Title II, Part A)</x:v>
      </x:c>
      <x:c r="C26" s="15" t="str">
        <x:v>Indicator 3</x:v>
      </x:c>
      <x:c r="D26" s="15" t="str">
        <x:v>Title II, Part A</x:v>
      </x:c>
      <x:c r="E26" s="15" t="str">
        <x:v>The LEA has implemented a written process to evaluate how Title II, Part A activities will impact student achievement.</x:v>
      </x:c>
      <x:c r="F26" s="15" t="str">
        <x:v>Title II Professional Learning Impact Evaluation</x:v>
      </x:c>
      <x:c r="G26" s="15" t="str">
        <x:v>Professional Development Plan Procedures.pdf; Title II Part A Procedures 1_16_15.pdf</x:v>
      </x:c>
      <x:c r="H26" s="15" t="str">
        <x:v>N/A</x:v>
      </x:c>
      <x:c r="I26" s="15" t="str">
        <x:v>Needs Review</x:v>
      </x:c>
      <x:c r="J26" s="15" t="str">
        <x:v>Partial / Needs Verification</x:v>
      </x:c>
      <x:c r="K26" s="15" t="str"/>
      <x:c r="L26" s="15" t="str">
        <x:v>Validate current process, owner, evidence, and effective date before publishing.</x:v>
      </x:c>
      <x:c r="M26" s="15" t="str"/>
    </x:row>
    <x:row r="27" ht="33" customHeight="1">
      <x:c r="A27" s="15" t="str">
        <x:v>GRPS-P026</x:v>
      </x:c>
      <x:c r="B27" s="15" t="str">
        <x:v>Section 2 (Title II, Part A)</x:v>
      </x:c>
      <x:c r="C27" s="15" t="str">
        <x:v>Indicator 4</x:v>
      </x:c>
      <x:c r="D27" s="15" t="str">
        <x:v>Title II, Part A</x:v>
      </x:c>
      <x:c r="E27" s="15" t="str">
        <x:v>The LEA has implemented a written process to ensure that Title II, Part A programs and initiatives meet supplement, not supplant requirements.</x:v>
      </x:c>
      <x:c r="F27" s="15" t="str">
        <x:v>Title II Supplement, Not Supplant</x:v>
      </x:c>
      <x:c r="G27" s="15" t="str">
        <x:v>Professional Development Plan Procedures.pdf; Title II Part A Procedures 1_16_15.pdf</x:v>
      </x:c>
      <x:c r="H27" s="15" t="str">
        <x:v>N/A</x:v>
      </x:c>
      <x:c r="I27" s="15" t="str">
        <x:v>Needs Review</x:v>
      </x:c>
      <x:c r="J27" s="15" t="str">
        <x:v>Partial / Needs Verification</x:v>
      </x:c>
      <x:c r="K27" s="15" t="str"/>
      <x:c r="L27" s="15" t="str">
        <x:v>Validate current process, owner, evidence, and effective date before publishing.</x:v>
      </x:c>
      <x:c r="M27" s="15" t="str"/>
    </x:row>
    <x:row r="28" ht="33" customHeight="1">
      <x:c r="A28" s="15" t="str">
        <x:v>GRPS-P027</x:v>
      </x:c>
      <x:c r="B28" s="15" t="str">
        <x:v>Section 2 (Title II, Part A)</x:v>
      </x:c>
      <x:c r="C28" s="15" t="str">
        <x:v>Indicator 5</x:v>
      </x:c>
      <x:c r="D28" s="15" t="str">
        <x:v>Title II, Part A</x:v>
      </x:c>
      <x:c r="E28" s="15" t="str">
        <x:v>The improvement plan includes PL activities that reflect research on teaching and learning.</x:v>
      </x:c>
      <x:c r="F28" s="15" t="str">
        <x:v>Research-Based Professional Learning in Improvement Plan</x:v>
      </x:c>
      <x:c r="G28" s="15" t="str">
        <x:v>District Improvement Process 4-15-15.pdf</x:v>
      </x:c>
      <x:c r="H28" s="15" t="str">
        <x:v>N/A</x:v>
      </x:c>
      <x:c r="I28" s="15" t="str">
        <x:v>Needs Review</x:v>
      </x:c>
      <x:c r="J28" s="15" t="str">
        <x:v>Partial / Needs Verification</x:v>
      </x:c>
      <x:c r="K28" s="15" t="str"/>
      <x:c r="L28" s="15" t="str">
        <x:v>Validate current process, owner, evidence, and effective date before publishing.</x:v>
      </x:c>
      <x:c r="M28" s="15" t="str"/>
    </x:row>
    <x:row r="29" ht="33" customHeight="1">
      <x:c r="A29" s="15" t="str">
        <x:v>GRPS-P028</x:v>
      </x:c>
      <x:c r="B29" s="15" t="str">
        <x:v>Section 2 (Title II, Part A)</x:v>
      </x:c>
      <x:c r="C29" s="15" t="str">
        <x:v>Indicator 6</x:v>
      </x:c>
      <x:c r="D29" s="15" t="str">
        <x:v>Title II, Part A</x:v>
      </x:c>
      <x:c r="E29" s="15" t="str">
        <x:v>The improvement plan incorporates PL strategies for meeting the educational needs of students with different learning styles.</x:v>
      </x:c>
      <x:c r="F29" s="15" t="str">
        <x:v>Professional Learning for Diverse Learning Needs</x:v>
      </x:c>
      <x:c r="G29" s="15" t="str">
        <x:v>District Improvement Process 4-15-15.pdf</x:v>
      </x:c>
      <x:c r="H29" s="15" t="str">
        <x:v>N/A</x:v>
      </x:c>
      <x:c r="I29" s="15" t="str">
        <x:v>Needs Review</x:v>
      </x:c>
      <x:c r="J29" s="15" t="str">
        <x:v>Partial / Needs Verification</x:v>
      </x:c>
      <x:c r="K29" s="15" t="str"/>
      <x:c r="L29" s="15" t="str">
        <x:v>Validate current process, owner, evidence, and effective date before publishing.</x:v>
      </x:c>
      <x:c r="M29" s="15" t="str"/>
    </x:row>
    <x:row r="30" ht="33" customHeight="1">
      <x:c r="A30" s="15" t="str">
        <x:v>GRPS-P029</x:v>
      </x:c>
      <x:c r="B30" s="15" t="str">
        <x:v>Section 2 (Title II, Part A)</x:v>
      </x:c>
      <x:c r="C30" s="15" t="str">
        <x:v>Indicator 7</x:v>
      </x:c>
      <x:c r="D30" s="15" t="str">
        <x:v>Title II, Part A</x:v>
      </x:c>
      <x:c r="E30" s="15" t="str">
        <x:v>The improvement plan supports high standards for PL in the core academic curriculum areas.</x:v>
      </x:c>
      <x:c r="F30" s="15" t="str">
        <x:v>High Standards for Core-Academic Professional Learning</x:v>
      </x:c>
      <x:c r="G30" s="15" t="str">
        <x:v>District Improvement Process 4-15-15.pdf</x:v>
      </x:c>
      <x:c r="H30" s="15" t="str">
        <x:v>N/A</x:v>
      </x:c>
      <x:c r="I30" s="15" t="str">
        <x:v>Needs Review</x:v>
      </x:c>
      <x:c r="J30" s="15" t="str">
        <x:v>Partial / Needs Verification</x:v>
      </x:c>
      <x:c r="K30" s="15" t="str"/>
      <x:c r="L30" s="15" t="str">
        <x:v>Validate current process, owner, evidence, and effective date before publishing.</x:v>
      </x:c>
      <x:c r="M30" s="15" t="str"/>
    </x:row>
    <x:row r="31" ht="33" customHeight="1">
      <x:c r="A31" s="15" t="str">
        <x:v>GRPS-P030</x:v>
      </x:c>
      <x:c r="B31" s="15" t="str">
        <x:v>Section 2 (ELs–All Districts)</x:v>
      </x:c>
      <x:c r="C31" s="15" t="str">
        <x:v>Indicator 1</x:v>
      </x:c>
      <x:c r="D31" s="15" t="str">
        <x:v>English Learners - All Districts</x:v>
      </x:c>
      <x:c r="E31" s="15" t="str">
        <x:v>The LEA has implemented written procedures for identifying and servicing eligible ELs. Reminder: in accordance with 1982 Plyler v. Doe registration forms may not ask for citizenship information or any information related to students’ and parents’ immigration status (including Social Security Numbers).</x:v>
      </x:c>
      <x:c r="F31" s="15" t="str">
        <x:v>English Learner Identification &amp; Services</x:v>
      </x:c>
      <x:c r="G31" s="15" t="str">
        <x:v>Title III Procedures 1-6-15.pdf</x:v>
      </x:c>
      <x:c r="H31" s="15" t="str">
        <x:v>N/A</x:v>
      </x:c>
      <x:c r="I31" s="15" t="str">
        <x:v>Needs Review</x:v>
      </x:c>
      <x:c r="J31" s="15" t="str">
        <x:v>Partial / Needs Verification</x:v>
      </x:c>
      <x:c r="K31" s="15" t="str"/>
      <x:c r="L31" s="15" t="str">
        <x:v>Validate current process, owner, evidence, and effective date before publishing.</x:v>
      </x:c>
      <x:c r="M31" s="15" t="str"/>
    </x:row>
    <x:row r="32" ht="33" customHeight="1">
      <x:c r="A32" s="15" t="str">
        <x:v>GRPS-P031</x:v>
      </x:c>
      <x:c r="B32" s="15" t="str">
        <x:v>Section 2 (ELs–All Districts)</x:v>
      </x:c>
      <x:c r="C32" s="15" t="str">
        <x:v>Indicator 2</x:v>
      </x:c>
      <x:c r="D32" s="15" t="str">
        <x:v>English Learners - All Districts</x:v>
      </x:c>
      <x:c r="E32" s="15" t="str">
        <x:v>The LEA has implemented written procedures for identifying and reporting Immigrant Students in the Michigan Student Data System (MSDS), including Foreign Exchange Students.</x:v>
      </x:c>
      <x:c r="F32" s="15" t="str">
        <x:v>Immigrant Student Identification &amp; MSDS Reporting</x:v>
      </x:c>
      <x:c r="G32" s="15" t="str">
        <x:v>Title III Procedures 1-6-15.pdf</x:v>
      </x:c>
      <x:c r="H32" s="15" t="str">
        <x:v>N/A</x:v>
      </x:c>
      <x:c r="I32" s="15" t="str">
        <x:v>Needs Review</x:v>
      </x:c>
      <x:c r="J32" s="15" t="str">
        <x:v>Partial / Needs Verification</x:v>
      </x:c>
      <x:c r="K32" s="15" t="str"/>
      <x:c r="L32" s="15" t="str">
        <x:v>Validate current process, owner, evidence, and effective date before publishing.</x:v>
      </x:c>
      <x:c r="M32" s="15" t="str"/>
    </x:row>
    <x:row r="33" ht="33" customHeight="1">
      <x:c r="A33" s="15" t="str">
        <x:v>GRPS-P032</x:v>
      </x:c>
      <x:c r="B33" s="15" t="str">
        <x:v>Section 2 (ELs–All Districts)</x:v>
      </x:c>
      <x:c r="C33" s="15" t="str">
        <x:v>Indicator 3</x:v>
      </x:c>
      <x:c r="D33" s="15" t="str">
        <x:v>English Learners - All Districts</x:v>
      </x:c>
      <x:c r="E33" s="15" t="str">
        <x:v>The LEA has submitted a written description of the Language Assistance Program (LAP) and uses general funds to support such programs before using other State and Federal funds.</x:v>
      </x:c>
      <x:c r="F33" s="15" t="str">
        <x:v>Language Assistance Program &amp; Funding Sequence</x:v>
      </x:c>
      <x:c r="G33" s="15" t="str">
        <x:v>Title III Procedures 1-6-15.pdf</x:v>
      </x:c>
      <x:c r="H33" s="15" t="str">
        <x:v>N/A</x:v>
      </x:c>
      <x:c r="I33" s="15" t="str">
        <x:v>Needs Review</x:v>
      </x:c>
      <x:c r="J33" s="15" t="str">
        <x:v>Partial / Needs Verification</x:v>
      </x:c>
      <x:c r="K33" s="15" t="str"/>
      <x:c r="L33" s="15" t="str">
        <x:v>Validate current process, owner, evidence, and effective date before publishing.</x:v>
      </x:c>
      <x:c r="M33" s="15" t="str"/>
    </x:row>
    <x:row r="34" ht="33" customHeight="1">
      <x:c r="A34" s="15" t="str">
        <x:v>GRPS-P033</x:v>
      </x:c>
      <x:c r="B34" s="15" t="str">
        <x:v>Section 2 (Title III, Part A)</x:v>
      </x:c>
      <x:c r="C34" s="15" t="str">
        <x:v>Indicator 1</x:v>
      </x:c>
      <x:c r="D34" s="15" t="str">
        <x:v>Title III, Part A</x:v>
      </x:c>
      <x:c r="E34" s="15" t="str">
        <x:v>The EL comprehensive program of supports (includes Title III) is based on a needs assessment and includes SMART objectives, strategies, and activities.</x:v>
      </x:c>
      <x:c r="F34" s="15" t="str">
        <x:v>Title III Needs-Based Comprehensive Supports</x:v>
      </x:c>
      <x:c r="G34" s="15" t="str">
        <x:v>Title III Procedures 1-6-15.pdf</x:v>
      </x:c>
      <x:c r="H34" s="15" t="str">
        <x:v>N/A</x:v>
      </x:c>
      <x:c r="I34" s="15" t="str">
        <x:v>Needs Review</x:v>
      </x:c>
      <x:c r="J34" s="15" t="str">
        <x:v>Partial / Needs Verification</x:v>
      </x:c>
      <x:c r="K34" s="15" t="str"/>
      <x:c r="L34" s="15" t="str">
        <x:v>Validate current process, owner, evidence, and effective date before publishing.</x:v>
      </x:c>
      <x:c r="M34" s="15" t="str"/>
    </x:row>
    <x:row r="35" ht="33" customHeight="1">
      <x:c r="A35" s="15" t="str">
        <x:v>GRPS-P034</x:v>
      </x:c>
      <x:c r="B35" s="15" t="str">
        <x:v>Section 2 (Title III, Part A)</x:v>
      </x:c>
      <x:c r="C35" s="15" t="str">
        <x:v>Indicator 2</x:v>
      </x:c>
      <x:c r="D35" s="15" t="str">
        <x:v>Title III, Part A</x:v>
      </x:c>
      <x:c r="E35" s="15" t="str">
        <x:v>The LEA complies with the supplement, not supplant provisions in Title III, Part A.</x:v>
      </x:c>
      <x:c r="F35" s="15" t="str">
        <x:v>Title III Supplement, Not Supplant</x:v>
      </x:c>
      <x:c r="G35" s="15" t="str">
        <x:v>Title III Procedures 1-6-15.pdf</x:v>
      </x:c>
      <x:c r="H35" s="15" t="str">
        <x:v>N/A</x:v>
      </x:c>
      <x:c r="I35" s="15" t="str">
        <x:v>Needs Review</x:v>
      </x:c>
      <x:c r="J35" s="15" t="str">
        <x:v>Partial / Needs Verification</x:v>
      </x:c>
      <x:c r="K35" s="15" t="str"/>
      <x:c r="L35" s="15" t="str">
        <x:v>Validate current process, owner, evidence, and effective date before publishing.</x:v>
      </x:c>
      <x:c r="M35" s="15" t="str"/>
    </x:row>
    <x:row r="36" ht="33" customHeight="1">
      <x:c r="A36" s="15" t="str">
        <x:v>GRPS-P035</x:v>
      </x:c>
      <x:c r="B36" s="15" t="str">
        <x:v>Section 2 (Title III, Part A)</x:v>
      </x:c>
      <x:c r="C36" s="15" t="str">
        <x:v>Indicator 3</x:v>
      </x:c>
      <x:c r="D36" s="15" t="str">
        <x:v>Title III, Part A</x:v>
      </x:c>
      <x:c r="E36" s="15" t="str">
        <x:v>The EL comprehensive program of supports (including Title III) is provided by certified English as a Second Language or Bilingual education-endorsed staff (or highly qualified paraprofessionals directly supervised by certified and endorsed staff).</x:v>
      </x:c>
      <x:c r="F36" s="15" t="str">
        <x:v>Title III Qualified Staffing</x:v>
      </x:c>
      <x:c r="G36" s="15" t="str">
        <x:v>Title III Procedures 1-6-15.pdf</x:v>
      </x:c>
      <x:c r="H36" s="15" t="str">
        <x:v>N/A</x:v>
      </x:c>
      <x:c r="I36" s="15" t="str">
        <x:v>Needs Review</x:v>
      </x:c>
      <x:c r="J36" s="15" t="str">
        <x:v>Partial / Needs Verification</x:v>
      </x:c>
      <x:c r="K36" s="15" t="str"/>
      <x:c r="L36" s="15" t="str">
        <x:v>Validate current process, owner, evidence, and effective date before publishing.</x:v>
      </x:c>
      <x:c r="M36" s="15" t="str"/>
    </x:row>
    <x:row r="37" ht="33" customHeight="1">
      <x:c r="A37" s="15" t="str">
        <x:v>GRPS-P036</x:v>
      </x:c>
      <x:c r="B37" s="15" t="str">
        <x:v>Section 2 (Title III, Part A)</x:v>
      </x:c>
      <x:c r="C37" s="15" t="str">
        <x:v>Indicator 4</x:v>
      </x:c>
      <x:c r="D37" s="15" t="str">
        <x:v>Title III, Part A</x:v>
      </x:c>
      <x:c r="E37" s="15" t="str">
        <x:v>The LEA provides sustained/ongoing, research-based PL for staff who serve ELs.</x:v>
      </x:c>
      <x:c r="F37" s="15" t="str">
        <x:v>Title III Professional Learning for EL Staff</x:v>
      </x:c>
      <x:c r="G37" s="15" t="str">
        <x:v>Title III Procedures 1-6-15.pdf</x:v>
      </x:c>
      <x:c r="H37" s="15" t="str">
        <x:v>N/A</x:v>
      </x:c>
      <x:c r="I37" s="15" t="str">
        <x:v>Needs Review</x:v>
      </x:c>
      <x:c r="J37" s="15" t="str">
        <x:v>Partial / Needs Verification</x:v>
      </x:c>
      <x:c r="K37" s="15" t="str"/>
      <x:c r="L37" s="15" t="str">
        <x:v>Validate current process, owner, evidence, and effective date before publishing.</x:v>
      </x:c>
      <x:c r="M37" s="15" t="str"/>
    </x:row>
    <x:row r="38" ht="33" customHeight="1">
      <x:c r="A38" s="15" t="str">
        <x:v>GRPS-P037</x:v>
      </x:c>
      <x:c r="B38" s="15" t="str">
        <x:v>Section 2 (Title III, Part A)</x:v>
      </x:c>
      <x:c r="C38" s="15" t="str">
        <x:v>Indicator 5</x:v>
      </x:c>
      <x:c r="D38" s="15" t="str">
        <x:v>Title III, Part A</x:v>
      </x:c>
      <x:c r="E38" s="15" t="str">
        <x:v>The Title III, Part A program is evaluated annually for effectiveness and impact on student achievement.</x:v>
      </x:c>
      <x:c r="F38" s="15" t="str">
        <x:v>Title III Annual Program Evaluation</x:v>
      </x:c>
      <x:c r="G38" s="15" t="str">
        <x:v>Title III Procedures 1-6-15.pdf</x:v>
      </x:c>
      <x:c r="H38" s="15" t="str">
        <x:v>N/A</x:v>
      </x:c>
      <x:c r="I38" s="15" t="str">
        <x:v>Needs Review</x:v>
      </x:c>
      <x:c r="J38" s="15" t="str">
        <x:v>Partial / Needs Verification</x:v>
      </x:c>
      <x:c r="K38" s="15" t="str"/>
      <x:c r="L38" s="15" t="str">
        <x:v>Validate current process, owner, evidence, and effective date before publishing.</x:v>
      </x:c>
      <x:c r="M38" s="15" t="str"/>
    </x:row>
    <x:row r="39" ht="33" customHeight="1">
      <x:c r="A39" s="15" t="str">
        <x:v>GRPS-P038</x:v>
      </x:c>
      <x:c r="B39" s="15" t="str">
        <x:v>Section 2 (Title III, Part A)</x:v>
      </x:c>
      <x:c r="C39" s="15" t="str">
        <x:v>Indicator 6</x:v>
      </x:c>
      <x:c r="D39" s="15" t="str">
        <x:v>Title III, Part A</x:v>
      </x:c>
      <x:c r="E39" s="15" t="str">
        <x:v>The LEA has an effective means of parent outreach to EL parents and has evidence that EL parents are involved stakeholders.</x:v>
      </x:c>
      <x:c r="F39" s="15" t="str">
        <x:v>Title III Parent Outreach &amp; Stakeholder Involvement</x:v>
      </x:c>
      <x:c r="G39" s="15" t="str">
        <x:v>Title III Procedures 1-6-15.pdf</x:v>
      </x:c>
      <x:c r="H39" s="15" t="str">
        <x:v>N/A</x:v>
      </x:c>
      <x:c r="I39" s="15" t="str">
        <x:v>Needs Review</x:v>
      </x:c>
      <x:c r="J39" s="15" t="str">
        <x:v>Partial / Needs Verification</x:v>
      </x:c>
      <x:c r="K39" s="15" t="str"/>
      <x:c r="L39" s="15" t="str">
        <x:v>Validate current process, owner, evidence, and effective date before publishing.</x:v>
      </x:c>
      <x:c r="M39" s="15" t="str"/>
    </x:row>
    <x:row r="40" ht="33" customHeight="1">
      <x:c r="A40" s="15" t="str">
        <x:v>GRPS-P039</x:v>
      </x:c>
      <x:c r="B40" s="15" t="str">
        <x:v>Section 2 (Title IV, Part A)</x:v>
      </x:c>
      <x:c r="C40" s="15" t="str">
        <x:v>Indicator 1</x:v>
      </x:c>
      <x:c r="D40" s="15" t="str">
        <x:v>Title IV, Part A</x:v>
      </x:c>
      <x:c r="E40" s="15" t="str">
        <x:v>The application was created in consultation with stakeholders, including parents/family, and consultation continues throughout the year to improve the local programs/services.</x:v>
      </x:c>
      <x:c r="F40" s="15" t="str">
        <x:v>Title IV Stakeholder Consultation</x:v>
      </x:c>
      <x:c r="G40" s="15" t="str">
        <x:v>Applying for External Funding Procedures 1-15.pdf</x:v>
      </x:c>
      <x:c r="H40" s="15" t="str">
        <x:v>Title IV</x:v>
      </x:c>
      <x:c r="I40" s="15" t="str">
        <x:v>Needs Review</x:v>
      </x:c>
      <x:c r="J40" s="15" t="str">
        <x:v>Partial / Needs Verification</x:v>
      </x:c>
      <x:c r="K40" s="15" t="str"/>
      <x:c r="L40" s="15" t="str">
        <x:v>Validate current process, owner, evidence, and effective date before publishing.</x:v>
      </x:c>
      <x:c r="M40" s="15" t="str"/>
    </x:row>
    <x:row r="41" ht="33" customHeight="1">
      <x:c r="A41" s="15" t="str">
        <x:v>GRPS-P040</x:v>
      </x:c>
      <x:c r="B41" s="15" t="str">
        <x:v>Section 2 (Title IV, Part A)</x:v>
      </x:c>
      <x:c r="C41" s="15" t="str">
        <x:v>Indicator 2</x:v>
      </x:c>
      <x:c r="D41" s="15" t="str">
        <x:v>Title IV, Part A</x:v>
      </x:c>
      <x:c r="E41" s="15" t="str">
        <x:v>The LEA/consortium assures resources are prioritized for schools with the greatest needs as determined by the LEA/consortium improvement plan.</x:v>
      </x:c>
      <x:c r="F41" s="15" t="str">
        <x:v>Title IV Greatest-Need Resource Prioritization</x:v>
      </x:c>
      <x:c r="G41" s="15" t="str">
        <x:v>District Improvement Process 4-15-15.pdf</x:v>
      </x:c>
      <x:c r="H41" s="15" t="str">
        <x:v>Title IV</x:v>
      </x:c>
      <x:c r="I41" s="15" t="str">
        <x:v>Needs Review</x:v>
      </x:c>
      <x:c r="J41" s="15" t="str">
        <x:v>Partial / Needs Verification</x:v>
      </x:c>
      <x:c r="K41" s="15" t="str"/>
      <x:c r="L41" s="15" t="str">
        <x:v>Validate current process, owner, evidence, and effective date before publishing.</x:v>
      </x:c>
      <x:c r="M41" s="15" t="str"/>
    </x:row>
    <x:row r="42" ht="33" customHeight="1">
      <x:c r="A42" s="15" t="str">
        <x:v>GRPS-P041</x:v>
      </x:c>
      <x:c r="B42" s="15" t="str">
        <x:v>Section 2 (Title IV, Part A)</x:v>
      </x:c>
      <x:c r="C42" s="15" t="str">
        <x:v>Indicator 3</x:v>
      </x:c>
      <x:c r="D42" s="15" t="str">
        <x:v>Title IV, Part A</x:v>
      </x:c>
      <x:c r="E42" s="15" t="str">
        <x:v>The LEA evaluates Title IV, Part A programs/services for effectiveness and impact on student achievement.</x:v>
      </x:c>
      <x:c r="F42" s="15" t="str">
        <x:v>Title IV Program Evaluation</x:v>
      </x:c>
      <x:c r="G42" s="15" t="str"/>
      <x:c r="H42" s="15" t="str">
        <x:v>Title IV</x:v>
      </x:c>
      <x:c r="I42" s="15" t="str">
        <x:v>Evidence Gap</x:v>
      </x:c>
      <x:c r="J42" s="15" t="str">
        <x:v>Missing</x:v>
      </x:c>
      <x:c r="K42" s="15" t="str"/>
      <x:c r="L42" s="15" t="str">
        <x:v>Identify or develop the written process and supporting evidence; assign owner.</x:v>
      </x:c>
      <x:c r="M42" s="15" t="str"/>
    </x:row>
    <x:row r="43" ht="33" customHeight="1">
      <x:c r="A43" s="15" t="str">
        <x:v>GRPS-P042</x:v>
      </x:c>
      <x:c r="B43" s="15" t="str">
        <x:v>Section 2 (Title IV, Part A)</x:v>
      </x:c>
      <x:c r="C43" s="15" t="str">
        <x:v>Indicator 4</x:v>
      </x:c>
      <x:c r="D43" s="15" t="str">
        <x:v>Title IV, Part A</x:v>
      </x:c>
      <x:c r="E43" s="15" t="str">
        <x:v>Programs/services comply with the supplement, not supplant requirement of the law.</x:v>
      </x:c>
      <x:c r="F43" s="15" t="str">
        <x:v>Title IV Supplement, Not Supplant</x:v>
      </x:c>
      <x:c r="G43" s="15" t="str"/>
      <x:c r="H43" s="15" t="str">
        <x:v>Title IV</x:v>
      </x:c>
      <x:c r="I43" s="15" t="str">
        <x:v>Evidence Gap</x:v>
      </x:c>
      <x:c r="J43" s="15" t="str">
        <x:v>Missing</x:v>
      </x:c>
      <x:c r="K43" s="15" t="str"/>
      <x:c r="L43" s="15" t="str">
        <x:v>Identify or develop the written process and supporting evidence; assign owner.</x:v>
      </x:c>
      <x:c r="M43" s="15" t="str"/>
    </x:row>
    <x:row r="44" ht="33" customHeight="1">
      <x:c r="A44" s="15" t="str">
        <x:v>GRPS-P043</x:v>
      </x:c>
      <x:c r="B44" s="15" t="str">
        <x:v>Section 2 (Title IX–Homeless)</x:v>
      </x:c>
      <x:c r="C44" s="15" t="str">
        <x:v>Indicator 1</x:v>
      </x:c>
      <x:c r="D44" s="15" t="str">
        <x:v>Homeless / McKinney-Vento</x:v>
      </x:c>
      <x:c r="E44" s="15" t="str">
        <x:v>The improvement plan describes the services the LEA will provide to support the enrollment, attendance, and success of homeless children and youth; including services provided with the Title I, Part A Homeless reservation, in coordination with the services the LEA provides under the McKinney-Vento Act.</x:v>
      </x:c>
      <x:c r="F44" s="15" t="str">
        <x:v>Homeless Student Services in Improvement Planning</x:v>
      </x:c>
      <x:c r="G44" s="15" t="str">
        <x:v>David's Sample; District Improvement Process 4-15-15.pdf</x:v>
      </x:c>
      <x:c r="H44" s="15" t="str">
        <x:v>Homeless</x:v>
      </x:c>
      <x:c r="I44" s="15" t="str">
        <x:v>Needs Review</x:v>
      </x:c>
      <x:c r="J44" s="15" t="str">
        <x:v>Partial / Needs Verification</x:v>
      </x:c>
      <x:c r="K44" s="15" t="str"/>
      <x:c r="L44" s="15" t="str">
        <x:v>Validate current process, owner, evidence, and effective date before publishing.</x:v>
      </x:c>
      <x:c r="M44" s="15" t="str"/>
    </x:row>
    <x:row r="45" ht="33" customHeight="1">
      <x:c r="A45" s="15" t="str">
        <x:v>GRPS-P044</x:v>
      </x:c>
      <x:c r="B45" s="15" t="str">
        <x:v>Section 2 (Title IX–Homeless)</x:v>
      </x:c>
      <x:c r="C45" s="15" t="str">
        <x:v>Indicator 2</x:v>
      </x:c>
      <x:c r="D45" s="15" t="str">
        <x:v>Homeless / McKinney-Vento</x:v>
      </x:c>
      <x:c r="E45" s="15" t="str">
        <x:v>The LEA considers every homeless student immediately eligible for Title I, Part A services based on their status as homeless, and not dependent on low academic achievement; homeless students are categorically eligible for Title I, Part A services.</x:v>
      </x:c>
      <x:c r="F45" s="15" t="str">
        <x:v>Homeless Student Categorical Title I Eligibility</x:v>
      </x:c>
      <x:c r="G45" s="15" t="str">
        <x:v>David's Sample; Title I Student Selection Procedure - Elementary 4-30-15.pdf; Title I Student Selection Procedure - Secondary 4-30-15.pdf</x:v>
      </x:c>
      <x:c r="H45" s="15" t="str">
        <x:v>Homeless</x:v>
      </x:c>
      <x:c r="I45" s="15" t="str">
        <x:v>Needs Review</x:v>
      </x:c>
      <x:c r="J45" s="15" t="str">
        <x:v>Partial / Needs Verification</x:v>
      </x:c>
      <x:c r="K45" s="15" t="str"/>
      <x:c r="L45" s="15" t="str">
        <x:v>Validate current process, owner, evidence, and effective date before publishing.</x:v>
      </x:c>
      <x:c r="M45" s="15" t="str"/>
    </x:row>
    <x:row r="46" ht="33" customHeight="1">
      <x:c r="A46" s="15" t="str">
        <x:v>GRPS-P045</x:v>
      </x:c>
      <x:c r="B46" s="15" t="str">
        <x:v>Section 2 (Title IX–Homeless)</x:v>
      </x:c>
      <x:c r="C46" s="15" t="str">
        <x:v>Indicator 3</x:v>
      </x:c>
      <x:c r="D46" s="15" t="str">
        <x:v>Homeless / McKinney-Vento</x:v>
      </x:c>
      <x:c r="E46" s="15" t="str">
        <x:v>The LEA’s MV Liaison and the Title I Coordinator implement a written process that includes regular meetings to assess the needs of homeless students and review the use of the Title I, Part A Homeless reservation to meet those needs.</x:v>
      </x:c>
      <x:c r="F46" s="15" t="str">
        <x:v>McKinney-Vento Liaison &amp; Title I Coordination</x:v>
      </x:c>
      <x:c r="G46" s="15" t="str">
        <x:v>David's Sample; Sample 1 District Level Title I Part A Program Oversight Process.pdf</x:v>
      </x:c>
      <x:c r="H46" s="15" t="str">
        <x:v>Homeless</x:v>
      </x:c>
      <x:c r="I46" s="15" t="str">
        <x:v>Needs Review</x:v>
      </x:c>
      <x:c r="J46" s="15" t="str">
        <x:v>Partial / Needs Verification</x:v>
      </x:c>
      <x:c r="K46" s="15" t="str"/>
      <x:c r="L46" s="15" t="str">
        <x:v>Validate current process, owner, evidence, and effective date before publishing.</x:v>
      </x:c>
      <x:c r="M46" s="15" t="str"/>
    </x:row>
    <x:row r="47" ht="33" customHeight="1">
      <x:c r="A47" s="15" t="str">
        <x:v>GRPS-P046</x:v>
      </x:c>
      <x:c r="B47" s="15" t="str">
        <x:v>Section 3</x:v>
      </x:c>
      <x:c r="C47" s="15" t="str">
        <x:v>Indicator 1</x:v>
      </x:c>
      <x:c r="D47" s="15" t="str">
        <x:v>Districtwide Federal Compliance</x:v>
      </x:c>
      <x:c r="E47" s="15" t="str">
        <x:v>The LEA maintains a physical inventory of the property purchased with Federal funds in accordance with 2 CFR 100.313.</x:v>
      </x:c>
      <x:c r="F47" s="15" t="str">
        <x:v>Federal Equipment Physical Inventory</x:v>
      </x:c>
      <x:c r="G47" s="15" t="str">
        <x:v>Title I Technology - Equipment Process and Procedures revised 1-13-14.pdf</x:v>
      </x:c>
      <x:c r="H47" s="15" t="str">
        <x:v>All</x:v>
      </x:c>
      <x:c r="I47" s="15" t="str">
        <x:v>Needs Review</x:v>
      </x:c>
      <x:c r="J47" s="15" t="str">
        <x:v>Partial / Needs Verification</x:v>
      </x:c>
      <x:c r="K47" s="15" t="str"/>
      <x:c r="L47" s="15" t="str">
        <x:v>Validate current process, owner, evidence, and effective date before publishing.</x:v>
      </x:c>
      <x:c r="M47" s="15" t="str"/>
    </x:row>
    <x:row r="48" ht="33" customHeight="1">
      <x:c r="A48" s="15" t="str">
        <x:v>GRPS-P047</x:v>
      </x:c>
      <x:c r="B48" s="15" t="str">
        <x:v>Section 3</x:v>
      </x:c>
      <x:c r="C48" s="15" t="str">
        <x:v>Indicator 2</x:v>
      </x:c>
      <x:c r="D48" s="15" t="str">
        <x:v>Districtwide Federal Compliance</x:v>
      </x:c>
      <x:c r="E48" s="15" t="str">
        <x:v>The LEA maintains activity logs to support timekeeping as applicable with legislation.</x:v>
      </x:c>
      <x:c r="F48" s="15" t="str">
        <x:v>Grant-Funded Activity Logs / Timekeeping</x:v>
      </x:c>
      <x:c r="G48" s="15" t="str">
        <x:v>Tracking of Time and Effort Process.docx; Time and Effort Procedures 5_30_13.pdf</x:v>
      </x:c>
      <x:c r="H48" s="15" t="str">
        <x:v>All</x:v>
      </x:c>
      <x:c r="I48" s="15" t="str">
        <x:v>Needs Review</x:v>
      </x:c>
      <x:c r="J48" s="15" t="str">
        <x:v>Partial / Needs Verification</x:v>
      </x:c>
      <x:c r="K48" s="15" t="str"/>
      <x:c r="L48" s="15" t="str">
        <x:v>Validate current process, owner, evidence, and effective date before publishing.</x:v>
      </x:c>
      <x:c r="M48" s="15" t="str"/>
    </x:row>
  </x:sheetData>
  <x:conditionalFormatting sqref="I2:I200">
    <x:cfRule type="expression" dxfId="6" priority="1">
      <x:formula>I2="Evidence Gap"</x:formula>
    </x:cfRule>
    <x:cfRule type="expression" dxfId="7" priority="2">
      <x:formula>I2="Needs Review"</x:formula>
    </x:cfRule>
  </x:conditionalFormatting>
  <x:pageMargins left="0.7" right="0.7" top="0.75" bottom="0.75" header="0.3" footer="0.3"/>
  <x:tableParts count="1">
    <x:tablePart xmlns:r="http://schemas.openxmlformats.org/officeDocument/2006/relationships" r:id="Rd33ddad5bbae4edb"/>
  </x:tableParts>
</x:worksheet>
</file>

<file path=xl/worksheets/sheet3.xml><?xml version="1.0" encoding="utf-8"?>
<x:worksheet xmlns:x="http://schemas.openxmlformats.org/spreadsheetml/2006/main">
  <x:sheetFormatPr defaultRowHeight="15"/>
  <x:cols>
    <x:col min="1" max="1" width="30" hidden="0" customWidth="1"/>
    <x:col min="2" max="2" width="60" hidden="0" customWidth="1"/>
    <x:col min="3" max="3" width="16" hidden="0" customWidth="1"/>
    <x:col min="4" max="4" width="28" hidden="0" customWidth="1"/>
  </x:cols>
  <x:sheetData>
    <x:row r="1" ht="36" customHeight="1">
      <x:c r="A1" s="28" t="str">
        <x:v>GRPS Written Process Page Builder</x:v>
      </x:c>
      <x:c r="B1" s="28"/>
      <x:c r="C1" s="28"/>
      <x:c r="D1" s="28"/>
    </x:row>
    <x:row r="2" ht="30" customHeight="1">
      <x:c r="A2" s="29"/>
      <x:c r="B2" s="29"/>
      <x:c r="C2" s="29"/>
      <x:c r="D2" s="29"/>
    </x:row>
    <x:row r="3" ht="30" customHeight="1">
      <x:c r="A3" s="14" t="str">
        <x:v>FIELD</x:v>
      </x:c>
      <x:c r="B3" s="14" t="str">
        <x:v>CONTENT TO ENTER</x:v>
      </x:c>
      <x:c r="C3" s="14" t="str">
        <x:v>REQUIRED?</x:v>
      </x:c>
      <x:c r="D3" s="14" t="str">
        <x:v>GOOGLE SITES SECTION</x:v>
      </x:c>
    </x:row>
    <x:row r="4" ht="30" customHeight="1">
      <x:c r="A4" s="15" t="str">
        <x:v>Process ID</x:v>
      </x:c>
      <x:c r="B4" s="15" t="str"/>
      <x:c r="C4" s="15" t="str">
        <x:v>Yes</x:v>
      </x:c>
      <x:c r="D4" s="15" t="str">
        <x:v>Metadata</x:v>
      </x:c>
    </x:row>
    <x:row r="5" ht="30" customHeight="1">
      <x:c r="A5" s="15" t="str">
        <x:v>Process Title</x:v>
      </x:c>
      <x:c r="B5" s="15" t="str"/>
      <x:c r="C5" s="15" t="str">
        <x:v>Yes</x:v>
      </x:c>
      <x:c r="D5" s="15" t="str">
        <x:v>Page title</x:v>
      </x:c>
    </x:row>
    <x:row r="6" ht="30" customHeight="1">
      <x:c r="A6" s="15" t="str">
        <x:v>Status</x:v>
      </x:c>
      <x:c r="B6" s="15" t="str"/>
      <x:c r="C6" s="15" t="str">
        <x:v>Yes</x:v>
      </x:c>
      <x:c r="D6" s="15" t="str">
        <x:v>Metadata/status chip</x:v>
      </x:c>
    </x:row>
    <x:row r="7" ht="30" customHeight="1">
      <x:c r="A7" s="15" t="str">
        <x:v>Purpose</x:v>
      </x:c>
      <x:c r="B7" s="15" t="str"/>
      <x:c r="C7" s="15" t="str">
        <x:v>Yes</x:v>
      </x:c>
      <x:c r="D7" s="15" t="str">
        <x:v>Purpose</x:v>
      </x:c>
    </x:row>
    <x:row r="8" ht="30" customHeight="1">
      <x:c r="A8" s="15" t="str">
        <x:v>Applies To</x:v>
      </x:c>
      <x:c r="B8" s="15" t="str"/>
      <x:c r="C8" s="15" t="str">
        <x:v>Yes</x:v>
      </x:c>
      <x:c r="D8" s="15" t="str">
        <x:v>Applies To</x:v>
      </x:c>
    </x:row>
    <x:row r="9" ht="30" customHeight="1">
      <x:c r="A9" s="15" t="str">
        <x:v>Process Owner</x:v>
      </x:c>
      <x:c r="B9" s="15" t="str"/>
      <x:c r="C9" s="15" t="str">
        <x:v>Yes</x:v>
      </x:c>
      <x:c r="D9" s="15" t="str">
        <x:v>Process Owner</x:v>
      </x:c>
    </x:row>
    <x:row r="10" ht="30" customHeight="1">
      <x:c r="A10" s="15" t="str">
        <x:v>MDE / Compliance Alignment</x:v>
      </x:c>
      <x:c r="B10" s="15" t="str"/>
      <x:c r="C10" s="15" t="str">
        <x:v>When applicable</x:v>
      </x:c>
      <x:c r="D10" s="15" t="str">
        <x:v>MDE / Compliance Alignment</x:v>
      </x:c>
    </x:row>
    <x:row r="11" ht="30" customHeight="1">
      <x:c r="A11" s="15" t="str">
        <x:v>Before You Begin</x:v>
      </x:c>
      <x:c r="B11" s="15" t="str"/>
      <x:c r="C11" s="15" t="str">
        <x:v>When applicable</x:v>
      </x:c>
      <x:c r="D11" s="15" t="str">
        <x:v>Before You Begin</x:v>
      </x:c>
    </x:row>
    <x:row r="12" ht="30" customHeight="1">
      <x:c r="A12" s="15" t="str">
        <x:v>Roles &amp; Responsibilities</x:v>
      </x:c>
      <x:c r="B12" s="15" t="str"/>
      <x:c r="C12" s="15" t="str">
        <x:v>Yes</x:v>
      </x:c>
      <x:c r="D12" s="15" t="str">
        <x:v>Roles &amp; Responsibilities</x:v>
      </x:c>
    </x:row>
    <x:row r="13" ht="30" customHeight="1">
      <x:c r="A13" s="15" t="str">
        <x:v>Step-by-Step Process</x:v>
      </x:c>
      <x:c r="B13" s="15" t="str"/>
      <x:c r="C13" s="15" t="str">
        <x:v>Yes</x:v>
      </x:c>
      <x:c r="D13" s="15" t="str">
        <x:v>Step-by-Step Process</x:v>
      </x:c>
    </x:row>
    <x:row r="14" ht="30" customHeight="1">
      <x:c r="A14" s="15" t="str">
        <x:v>Decision Points</x:v>
      </x:c>
      <x:c r="B14" s="15" t="str"/>
      <x:c r="C14" s="15" t="str">
        <x:v>When applicable</x:v>
      </x:c>
      <x:c r="D14" s="15" t="str">
        <x:v>Decision Points</x:v>
      </x:c>
    </x:row>
    <x:row r="15" ht="30" customHeight="1">
      <x:c r="A15" s="15" t="str">
        <x:v>Timeline / Deadlines</x:v>
      </x:c>
      <x:c r="B15" s="15" t="str"/>
      <x:c r="C15" s="15" t="str">
        <x:v>When applicable</x:v>
      </x:c>
      <x:c r="D15" s="15" t="str">
        <x:v>Timeline / Deadlines</x:v>
      </x:c>
    </x:row>
    <x:row r="16" ht="30" customHeight="1">
      <x:c r="A16" s="15" t="str">
        <x:v>Required Documentation</x:v>
      </x:c>
      <x:c r="B16" s="15" t="str"/>
      <x:c r="C16" s="15" t="str">
        <x:v>Yes</x:v>
      </x:c>
      <x:c r="D16" s="15" t="str">
        <x:v>Required Documentation</x:v>
      </x:c>
    </x:row>
    <x:row r="17" ht="30" customHeight="1">
      <x:c r="A17" s="15" t="str">
        <x:v>Evidence of Implementation</x:v>
      </x:c>
      <x:c r="B17" s="15" t="str"/>
      <x:c r="C17" s="15" t="str">
        <x:v>Yes</x:v>
      </x:c>
      <x:c r="D17" s="15" t="str">
        <x:v>Evidence of Implementation</x:v>
      </x:c>
    </x:row>
    <x:row r="18" ht="30" customHeight="1">
      <x:c r="A18" s="15" t="str">
        <x:v>Tools &amp; Templates</x:v>
      </x:c>
      <x:c r="B18" s="15" t="str"/>
      <x:c r="C18" s="15" t="str">
        <x:v>When applicable</x:v>
      </x:c>
      <x:c r="D18" s="15" t="str">
        <x:v>Tools &amp; Templates</x:v>
      </x:c>
    </x:row>
    <x:row r="19" ht="30" customHeight="1">
      <x:c r="A19" s="15" t="str">
        <x:v>Monitoring / Quality Check</x:v>
      </x:c>
      <x:c r="B19" s="15" t="str"/>
      <x:c r="C19" s="15" t="str">
        <x:v>Yes</x:v>
      </x:c>
      <x:c r="D19" s="15" t="str">
        <x:v>Monitoring / Quality Check</x:v>
      </x:c>
    </x:row>
    <x:row r="20" ht="30" customHeight="1">
      <x:c r="A20" s="15" t="str">
        <x:v>Escalation / Support</x:v>
      </x:c>
      <x:c r="B20" s="15" t="str"/>
      <x:c r="C20" s="15" t="str">
        <x:v>Yes</x:v>
      </x:c>
      <x:c r="D20" s="15" t="str">
        <x:v>Escalation / Support</x:v>
      </x:c>
    </x:row>
    <x:row r="21" ht="30" customHeight="1">
      <x:c r="A21" s="15" t="str">
        <x:v>Related Processes</x:v>
      </x:c>
      <x:c r="B21" s="15" t="str"/>
      <x:c r="C21" s="15" t="str">
        <x:v>When applicable</x:v>
      </x:c>
      <x:c r="D21" s="15" t="str">
        <x:v>Related Processes</x:v>
      </x:c>
    </x:row>
    <x:row r="22" ht="30" customHeight="1">
      <x:c r="A22" s="15" t="str">
        <x:v>Effective Date</x:v>
      </x:c>
      <x:c r="B22" s="15" t="str"/>
      <x:c r="C22" s="15" t="str">
        <x:v>Yes</x:v>
      </x:c>
      <x:c r="D22" s="15" t="str">
        <x:v>Revision History</x:v>
      </x:c>
    </x:row>
    <x:row r="23" ht="30" customHeight="1">
      <x:c r="A23" s="15" t="str">
        <x:v>Last Reviewed</x:v>
      </x:c>
      <x:c r="B23" s="15" t="str"/>
      <x:c r="C23" s="15" t="str">
        <x:v>Yes</x:v>
      </x:c>
      <x:c r="D23" s="15" t="str">
        <x:v>Revision History</x:v>
      </x:c>
    </x:row>
    <x:row r="24" ht="30" customHeight="1">
      <x:c r="A24" s="15" t="str">
        <x:v>Next Review</x:v>
      </x:c>
      <x:c r="B24" s="15" t="str"/>
      <x:c r="C24" s="15" t="str">
        <x:v>Yes</x:v>
      </x:c>
      <x:c r="D24" s="15" t="str">
        <x:v>Revision History</x:v>
      </x:c>
    </x:row>
    <x:row r="25" ht="30" customHeight="1">
      <x:c r="A25" s="15" t="str">
        <x:v>Revision Summary</x:v>
      </x:c>
      <x:c r="B25" s="15" t="str"/>
      <x:c r="C25" s="15" t="str">
        <x:v>When revised</x:v>
      </x:c>
      <x:c r="D25" s="15" t="str">
        <x:v>Revision History</x:v>
      </x:c>
    </x:row>
    <x:row r="26" ht="30" customHeight="1">
      <x:c r="A26" s="15" t="str">
        <x:v>Approver</x:v>
      </x:c>
      <x:c r="B26" s="15" t="str"/>
      <x:c r="C26" s="15" t="str">
        <x:v>Yes</x:v>
      </x:c>
      <x:c r="D26" s="15" t="str">
        <x:v>Revision History</x:v>
      </x:c>
    </x:row>
    <x:row r="27" ht="30" customHeight="1">
      <x:c r="A27" s="15" t="str">
        <x:v>Google Sites Page URL</x:v>
      </x:c>
      <x:c r="B27" s="15" t="str"/>
      <x:c r="C27" s="15" t="str">
        <x:v>After publishing</x:v>
      </x:c>
      <x:c r="D27" s="15" t="str">
        <x:v>Process Index</x:v>
      </x:c>
    </x:row>
    <x:row r="28" ht="30" customHeight="1">
      <x:c r="A28" s="15" t="str">
        <x:v>Drive Evidence Location</x:v>
      </x:c>
      <x:c r="B28" s="15" t="str"/>
      <x:c r="C28" s="15" t="str">
        <x:v>When applicable</x:v>
      </x:c>
      <x:c r="D28" s="15" t="str">
        <x:v>Evidence Portfolio</x:v>
      </x:c>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25" hidden="0" customWidth="1"/>
    <x:col min="2" max="2" width="12" hidden="0" customWidth="1"/>
    <x:col min="3" max="3" width="4" hidden="0" customWidth="1"/>
    <x:col min="4" max="4" width="34" hidden="0" customWidth="1"/>
    <x:col min="5" max="5" width="12" hidden="0" customWidth="1"/>
    <x:col min="6" max="6" width="14" hidden="0" customWidth="1"/>
    <x:col min="7" max="7" width="4" hidden="0" customWidth="1"/>
    <x:col min="8" max="8" width="4" hidden="0" customWidth="1"/>
  </x:cols>
  <x:sheetData>
    <x:row r="1" ht="36" customHeight="1">
      <x:c r="A1" s="24" t="str">
        <x:v>GRPS Written Process Collaborative — Readiness Dashboard</x:v>
      </x:c>
      <x:c r="B1" s="24"/>
      <x:c r="C1" s="24"/>
      <x:c r="D1" s="24"/>
      <x:c r="E1" s="24"/>
      <x:c r="F1" s="24"/>
      <x:c r="G1" s="24"/>
      <x:c r="H1" s="24"/>
    </x:row>
    <x:row r="3">
      <x:c r="A3" s="6" t="str">
        <x:v>Metric</x:v>
      </x:c>
      <x:c r="B3" s="6" t="str">
        <x:v>Count</x:v>
      </x:c>
      <x:c r="C3" s="12"/>
      <x:c r="D3" s="6" t="str">
        <x:v>Evidence Metric</x:v>
      </x:c>
      <x:c r="E3" s="6" t="str">
        <x:v>Count</x:v>
      </x:c>
      <x:c r="F3" s="12"/>
    </x:row>
    <x:row r="4">
      <x:c r="A4" s="12" t="str">
        <x:v>Total Processes</x:v>
      </x:c>
      <x:c r="B4" s="34" t="n">
        <x:f>COUNTA('Master Process Index'!A2:A200)</x:f>
        <x:v>47</x:v>
      </x:c>
      <x:c r="C4" s="12"/>
      <x:c r="D4" s="12" t="str">
        <x:v>Sufficient</x:v>
      </x:c>
      <x:c r="E4" s="34" t="n">
        <x:f>COUNTIF('Master Process Index'!K2:K200,"Sufficient")</x:f>
        <x:v>0</x:v>
      </x:c>
      <x:c r="F4" s="12"/>
    </x:row>
    <x:row r="5">
      <x:c r="A5" s="12" t="str">
        <x:v>Current</x:v>
      </x:c>
      <x:c r="B5" s="34" t="n">
        <x:f>COUNTIF('Master Process Index'!J2:J200,"Current")</x:f>
        <x:v>0</x:v>
      </x:c>
      <x:c r="C5" s="12"/>
      <x:c r="D5" s="12" t="str">
        <x:v>Partial / Needs Verification</x:v>
      </x:c>
      <x:c r="E5" s="34" t="n">
        <x:f>COUNTIF('Master Process Index'!K2:K200,"Partial / Needs Verification")</x:f>
        <x:v>43</x:v>
      </x:c>
      <x:c r="F5" s="12"/>
    </x:row>
    <x:row r="6">
      <x:c r="A6" s="12" t="str">
        <x:v>Needs Review</x:v>
      </x:c>
      <x:c r="B6" s="34" t="n">
        <x:f>COUNTIF('Master Process Index'!J2:J200,"Needs Review")</x:f>
        <x:v>43</x:v>
      </x:c>
      <x:c r="C6" s="12"/>
      <x:c r="D6" s="12" t="str">
        <x:v>Missing</x:v>
      </x:c>
      <x:c r="E6" s="34" t="n">
        <x:f>COUNTIF('Master Process Index'!K2:K200,"Missing")</x:f>
        <x:v>4</x:v>
      </x:c>
      <x:c r="F6" s="12"/>
    </x:row>
    <x:row r="7">
      <x:c r="A7" s="12" t="str">
        <x:v>Evidence Gap</x:v>
      </x:c>
      <x:c r="B7" s="34" t="n">
        <x:f>COUNTIF('Master Process Index'!J2:J200,"Evidence Gap")</x:f>
        <x:v>4</x:v>
      </x:c>
      <x:c r="C7" s="12"/>
      <x:c r="D7" s="12" t="str">
        <x:v>Needs Verification</x:v>
      </x:c>
      <x:c r="E7" s="34" t="n">
        <x:f>COUNTIF('Master Process Index'!K2:K200,"Needs Verification")</x:f>
        <x:v>0</x:v>
      </x:c>
      <x:c r="F7" s="12"/>
    </x:row>
    <x:row r="8">
      <x:c r="A8" s="12" t="str">
        <x:v>In Development</x:v>
      </x:c>
      <x:c r="B8" s="34" t="n">
        <x:f>COUNTIF('Master Process Index'!J2:J200,"In Development")</x:f>
        <x:v>0</x:v>
      </x:c>
      <x:c r="C8" s="12"/>
      <x:c r="D8" s="12"/>
      <x:c r="E8" s="12"/>
      <x:c r="F8" s="12"/>
    </x:row>
    <x:row r="9">
      <x:c r="A9" s="12" t="str">
        <x:v>Retired</x:v>
      </x:c>
      <x:c r="B9" s="34" t="n">
        <x:f>COUNTIF('Master Process Index'!J2:J200,"Retired")</x:f>
        <x:v>0</x:v>
      </x:c>
      <x:c r="C9" s="12"/>
      <x:c r="D9" s="12"/>
      <x:c r="E9" s="12"/>
      <x:c r="F9" s="12"/>
    </x:row>
    <x:row r="10">
      <x:c r="A10" s="12"/>
      <x:c r="B10" s="12"/>
      <x:c r="C10" s="12"/>
      <x:c r="D10" s="12"/>
      <x:c r="E10" s="12"/>
      <x:c r="F10" s="12"/>
    </x:row>
    <x:row r="11">
      <x:c r="A11" s="12"/>
      <x:c r="B11" s="12"/>
      <x:c r="C11" s="12"/>
      <x:c r="D11" s="12"/>
      <x:c r="E11" s="12"/>
      <x:c r="F11" s="12"/>
    </x:row>
    <x:row r="12">
      <x:c r="A12" s="6" t="str">
        <x:v>Priority</x:v>
      </x:c>
      <x:c r="B12" s="6" t="str">
        <x:v>Count</x:v>
      </x:c>
      <x:c r="C12" s="12"/>
      <x:c r="D12" s="6" t="str">
        <x:v>Program / Collection</x:v>
      </x:c>
      <x:c r="E12" s="6" t="str">
        <x:v>Total</x:v>
      </x:c>
      <x:c r="F12" s="6" t="str">
        <x:v>Evidence Gaps</x:v>
      </x:c>
    </x:row>
    <x:row r="13">
      <x:c r="A13" s="12" t="str">
        <x:v>High</x:v>
      </x:c>
      <x:c r="B13" s="34" t="n">
        <x:f>COUNTIF('Master Process Index'!L2:L200,"High")</x:f>
        <x:v>14</x:v>
      </x:c>
      <x:c r="C13" s="12"/>
      <x:c r="D13" s="12" t="str">
        <x:v>Curriculum</x:v>
      </x:c>
      <x:c r="E13" s="12" t="n">
        <x:f>COUNTIF('Master Process Index'!C2:C200,D13)</x:f>
        <x:v>2</x:v>
      </x:c>
      <x:c r="F13" s="12" t="n">
        <x:f>COUNTIFS('Master Process Index'!C2:C200,D13,'Master Process Index'!J2:J200,"Evidence Gap")</x:f>
        <x:v>2</x:v>
      </x:c>
    </x:row>
    <x:row r="14">
      <x:c r="A14" s="12" t="str">
        <x:v>Medium</x:v>
      </x:c>
      <x:c r="B14" s="34" t="n">
        <x:f>COUNTIF('Master Process Index'!L2:L200,"Medium")</x:f>
        <x:v>33</x:v>
      </x:c>
      <x:c r="C14" s="12"/>
      <x:c r="D14" s="12" t="str">
        <x:v>Districtwide Federal Compliance</x:v>
      </x:c>
      <x:c r="E14" s="12" t="n">
        <x:f>COUNTIF('Master Process Index'!C2:C200,D14)</x:f>
        <x:v>2</x:v>
      </x:c>
      <x:c r="F14" s="12" t="n">
        <x:f>COUNTIFS('Master Process Index'!C2:C200,D14,'Master Process Index'!J2:J200,"Evidence Gap")</x:f>
        <x:v>0</x:v>
      </x:c>
    </x:row>
    <x:row r="15">
      <x:c r="A15" s="12" t="str">
        <x:v>Low</x:v>
      </x:c>
      <x:c r="B15" s="34" t="n">
        <x:f>COUNTIF('Master Process Index'!L2:L200,"Low")</x:f>
        <x:v>0</x:v>
      </x:c>
      <x:c r="C15" s="12"/>
      <x:c r="D15" s="12" t="str">
        <x:v>English Learners - All Districts</x:v>
      </x:c>
      <x:c r="E15" s="12" t="n">
        <x:f>COUNTIF('Master Process Index'!C2:C200,D15)</x:f>
        <x:v>3</x:v>
      </x:c>
      <x:c r="F15" s="12" t="n">
        <x:f>COUNTIFS('Master Process Index'!C2:C200,D15,'Master Process Index'!J2:J200,"Evidence Gap")</x:f>
        <x:v>0</x:v>
      </x:c>
    </x:row>
    <x:row r="16">
      <x:c r="A16" s="12"/>
      <x:c r="B16" s="12"/>
      <x:c r="C16" s="12"/>
      <x:c r="D16" s="12" t="str">
        <x:v>Homeless / McKinney-Vento</x:v>
      </x:c>
      <x:c r="E16" s="12" t="n">
        <x:f>COUNTIF('Master Process Index'!C2:C200,D16)</x:f>
        <x:v>3</x:v>
      </x:c>
      <x:c r="F16" s="12" t="n">
        <x:f>COUNTIFS('Master Process Index'!C2:C200,D16,'Master Process Index'!J2:J200,"Evidence Gap")</x:f>
        <x:v>0</x:v>
      </x:c>
    </x:row>
    <x:row r="17">
      <x:c r="A17" s="12"/>
      <x:c r="B17" s="12"/>
      <x:c r="C17" s="12"/>
      <x:c r="D17" s="12" t="str">
        <x:v>Title I, Part A</x:v>
      </x:c>
      <x:c r="E17" s="12" t="n">
        <x:f>COUNTIF('Master Process Index'!C2:C200,D17)</x:f>
        <x:v>8</x:v>
      </x:c>
      <x:c r="F17" s="12" t="n">
        <x:f>COUNTIFS('Master Process Index'!C2:C200,D17,'Master Process Index'!J2:J200,"Evidence Gap")</x:f>
        <x:v>0</x:v>
      </x:c>
    </x:row>
    <x:row r="18">
      <x:c r="A18" s="12"/>
      <x:c r="B18" s="12"/>
      <x:c r="C18" s="12"/>
      <x:c r="D18" s="12" t="str">
        <x:v>Title I, Part A - Private Schools</x:v>
      </x:c>
      <x:c r="E18" s="12" t="n">
        <x:f>COUNTIF('Master Process Index'!C2:C200,D18)</x:f>
        <x:v>3</x:v>
      </x:c>
      <x:c r="F18" s="12" t="n">
        <x:f>COUNTIFS('Master Process Index'!C2:C200,D18,'Master Process Index'!J2:J200,"Evidence Gap")</x:f>
        <x:v>0</x:v>
      </x:c>
    </x:row>
    <x:row r="19">
      <x:c r="A19" s="12"/>
      <x:c r="B19" s="12"/>
      <x:c r="C19" s="12"/>
      <x:c r="D19" s="12" t="str">
        <x:v>Title I, Part D - Delinquent</x:v>
      </x:c>
      <x:c r="E19" s="12" t="n">
        <x:f>COUNTIF('Master Process Index'!C2:C200,D19)</x:f>
        <x:v>5</x:v>
      </x:c>
      <x:c r="F19" s="12" t="n">
        <x:f>COUNTIFS('Master Process Index'!C2:C200,D19,'Master Process Index'!J2:J200,"Evidence Gap")</x:f>
        <x:v>0</x:v>
      </x:c>
    </x:row>
    <x:row r="20">
      <x:c r="A20" s="12"/>
      <x:c r="B20" s="12"/>
      <x:c r="C20" s="12"/>
      <x:c r="D20" s="12" t="str">
        <x:v>Title I, Part D - Neglected</x:v>
      </x:c>
      <x:c r="E20" s="12" t="n">
        <x:f>COUNTIF('Master Process Index'!C2:C200,D20)</x:f>
        <x:v>4</x:v>
      </x:c>
      <x:c r="F20" s="12" t="n">
        <x:f>COUNTIFS('Master Process Index'!C2:C200,D20,'Master Process Index'!J2:J200,"Evidence Gap")</x:f>
        <x:v>0</x:v>
      </x:c>
    </x:row>
    <x:row r="21">
      <x:c r="A21" s="12"/>
      <x:c r="B21" s="12"/>
      <x:c r="C21" s="12"/>
      <x:c r="D21" s="12" t="str">
        <x:v>Title II, Part A</x:v>
      </x:c>
      <x:c r="E21" s="12" t="n">
        <x:f>COUNTIF('Master Process Index'!C2:C200,D21)</x:f>
        <x:v>7</x:v>
      </x:c>
      <x:c r="F21" s="12" t="n">
        <x:f>COUNTIFS('Master Process Index'!C2:C200,D21,'Master Process Index'!J2:J200,"Evidence Gap")</x:f>
        <x:v>0</x:v>
      </x:c>
    </x:row>
    <x:row r="22">
      <x:c r="A22" s="12"/>
      <x:c r="B22" s="12"/>
      <x:c r="C22" s="12"/>
      <x:c r="D22" s="12" t="str">
        <x:v>Title III, Part A</x:v>
      </x:c>
      <x:c r="E22" s="12" t="n">
        <x:f>COUNTIF('Master Process Index'!C2:C200,D22)</x:f>
        <x:v>6</x:v>
      </x:c>
      <x:c r="F22" s="12" t="n">
        <x:f>COUNTIFS('Master Process Index'!C2:C200,D22,'Master Process Index'!J2:J200,"Evidence Gap")</x:f>
        <x:v>0</x:v>
      </x:c>
    </x:row>
    <x:row r="23">
      <x:c r="A23" s="12"/>
      <x:c r="B23" s="12"/>
      <x:c r="C23" s="12"/>
      <x:c r="D23" s="12" t="str">
        <x:v>Title IV, Part A</x:v>
      </x:c>
      <x:c r="E23" s="12" t="n">
        <x:f>COUNTIF('Master Process Index'!C2:C200,D23)</x:f>
        <x:v>4</x:v>
      </x:c>
      <x:c r="F23" s="12" t="n">
        <x:f>COUNTIFS('Master Process Index'!C2:C200,D23,'Master Process Index'!J2:J200,"Evidence Gap")</x:f>
        <x:v>2</x:v>
      </x:c>
    </x:row>
    <x:row r="24">
      <x:c r="A24" s="12"/>
      <x:c r="B24" s="12"/>
      <x:c r="C24" s="12"/>
      <x:c r="D24" s="12"/>
      <x:c r="E24" s="12"/>
      <x:c r="F24" s="12"/>
    </x:row>
    <x:row r="25">
      <x:c r="A25" s="12"/>
      <x:c r="B25" s="12"/>
      <x:c r="C25" s="12"/>
      <x:c r="D25" s="12"/>
      <x:c r="E25" s="12"/>
      <x:c r="F25" s="12"/>
    </x:row>
    <x:row r="26">
      <x:c r="A26" s="12"/>
      <x:c r="B26" s="12"/>
      <x:c r="C26" s="12"/>
      <x:c r="D26" s="12"/>
      <x:c r="E26" s="12"/>
      <x:c r="F26" s="12"/>
    </x:row>
    <x:row r="27">
      <x:c r="A27" s="12"/>
      <x:c r="B27" s="12"/>
      <x:c r="C27" s="12"/>
      <x:c r="D27" s="12"/>
      <x:c r="E27" s="12"/>
      <x:c r="F27" s="12"/>
    </x:row>
    <x:row r="28">
      <x:c r="A28" s="12"/>
      <x:c r="B28" s="12"/>
      <x:c r="C28" s="12"/>
      <x:c r="D28" s="12"/>
      <x:c r="E28" s="12"/>
      <x:c r="F28" s="12"/>
    </x:row>
    <x:row r="29">
      <x:c r="A29" s="12"/>
      <x:c r="B29" s="12"/>
      <x:c r="C29" s="12"/>
      <x:c r="D29" s="12"/>
      <x:c r="E29" s="12"/>
      <x:c r="F29" s="12"/>
    </x:row>
    <x:row r="30">
      <x:c r="A30" s="12"/>
      <x:c r="B30" s="12"/>
      <x:c r="C30" s="12"/>
      <x:c r="D30" s="12"/>
      <x:c r="E30" s="12"/>
      <x:c r="F30" s="12"/>
    </x:row>
  </x:sheetData>
  <x:mergeCells>
    <x:mergeCell ref="A1:H1"/>
  </x:mergeCells>
  <x:pageMargins left="0.7" right="0.7" top="0.75" bottom="0.75" header="0.3" footer="0.3"/>
  <x:drawing xmlns:r="http://schemas.openxmlformats.org/officeDocument/2006/relationships" r:id="Ra7392301b3b14712"/>
</x:worksheet>
</file>

<file path=xl/worksheets/sheet5.xml><?xml version="1.0" encoding="utf-8"?>
<x:worksheet xmlns:x="http://schemas.openxmlformats.org/spreadsheetml/2006/main">
  <x:sheetFormatPr defaultRowHeight="15"/>
  <x:cols>
    <x:col min="1" max="1" width="28" hidden="0" customWidth="1"/>
    <x:col min="2" max="2" width="28" hidden="0" customWidth="1"/>
    <x:col min="3" max="3" width="28" hidden="0" customWidth="1"/>
  </x:cols>
  <x:sheetData>
    <x:row r="1">
      <x:c r="A1" s="6" t="str">
        <x:v>Process Status</x:v>
      </x:c>
      <x:c r="B1" s="6" t="str">
        <x:v>Evidence Status</x:v>
      </x:c>
      <x:c r="C1" s="6" t="str">
        <x:v>Priority</x:v>
      </x:c>
    </x:row>
    <x:row r="2">
      <x:c r="A2" t="str">
        <x:v>Current</x:v>
      </x:c>
      <x:c r="B2" t="str">
        <x:v>Sufficient</x:v>
      </x:c>
      <x:c r="C2" t="str">
        <x:v>High</x:v>
      </x:c>
    </x:row>
    <x:row r="3">
      <x:c r="A3" t="str">
        <x:v>Needs Review</x:v>
      </x:c>
      <x:c r="B3" t="str">
        <x:v>Partial / Needs Verification</x:v>
      </x:c>
      <x:c r="C3" t="str">
        <x:v>Medium</x:v>
      </x:c>
    </x:row>
    <x:row r="4">
      <x:c r="A4" t="str">
        <x:v>Evidence Gap</x:v>
      </x:c>
      <x:c r="B4" t="str">
        <x:v>Missing</x:v>
      </x:c>
      <x:c r="C4" t="str">
        <x:v>Low</x:v>
      </x:c>
    </x:row>
    <x:row r="5">
      <x:c r="A5" t="str">
        <x:v>In Development</x:v>
      </x:c>
      <x:c r="B5" t="str">
        <x:v>Needs Verification</x:v>
      </x:c>
      <x:c r="C5" t="str"/>
    </x:row>
    <x:row r="6">
      <x:c r="A6" t="str">
        <x:v>Retired</x:v>
      </x:c>
      <x:c r="B6" t="str"/>
      <x:c r="C6" t="str"/>
    </x:row>
  </x:sheetData>
  <x:pageMargins left="0.7" right="0.7" top="0.75" bottom="0.75" header="0.3" footer="0.3"/>
</x:worksheet>
</file>